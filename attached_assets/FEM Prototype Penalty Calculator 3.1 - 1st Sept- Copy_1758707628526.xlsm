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mitredu\Documents\"/>
    </mc:Choice>
  </mc:AlternateContent>
  <xr:revisionPtr revIDLastSave="0" documentId="13_ncr:1_{8940C5E1-8AAB-4B23-AA9B-A6126BE1C082}" xr6:coauthVersionLast="47" xr6:coauthVersionMax="47" xr10:uidLastSave="{00000000-0000-0000-0000-000000000000}"/>
  <bookViews>
    <workbookView xWindow="38290" yWindow="-110" windowWidth="38620" windowHeight="21100" xr2:uid="{00000000-000D-0000-FFFF-FFFF00000000}"/>
  </bookViews>
  <sheets>
    <sheet name="Penalty Calculator" sheetId="3" r:id="rId1"/>
    <sheet name="Back end calculation" sheetId="6" r:id="rId2"/>
    <sheet name="Sheet1" sheetId="10" r:id="rId3"/>
    <sheet name="Voyage Estimator" sheetId="9" r:id="rId4"/>
    <sheet name="Fuel Factors" sheetId="5" r:id="rId5"/>
    <sheet name="icon links" sheetId="7" r:id="rId6"/>
    <sheet name="Voy Estimator" sheetId="8" state="hidden" r:id="rId7"/>
  </sheets>
  <definedNames>
    <definedName name="_xlnm._FilterDatabase" localSheetId="4" hidden="1">'Fuel Factors'!$B$3:$B$16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'Back end calculation'!$AA$60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8" i="6" l="1"/>
  <c r="L64" i="3"/>
  <c r="L63" i="3"/>
  <c r="K109" i="6" l="1"/>
  <c r="M109" i="6" s="1"/>
  <c r="D99" i="6"/>
  <c r="E99" i="6"/>
  <c r="K110" i="6" l="1"/>
  <c r="M110" i="6" s="1"/>
  <c r="N50" i="6"/>
  <c r="N49" i="6"/>
  <c r="N48" i="6"/>
  <c r="N47" i="6"/>
  <c r="N46" i="6"/>
  <c r="N45" i="6"/>
  <c r="N44" i="6"/>
  <c r="N43" i="6"/>
  <c r="K111" i="6" l="1"/>
  <c r="M111" i="6" s="1"/>
  <c r="R17" i="3"/>
  <c r="U17" i="3"/>
  <c r="K112" i="6" l="1"/>
  <c r="M112" i="6" s="1"/>
  <c r="L36" i="3"/>
  <c r="AT55" i="6"/>
  <c r="U69" i="3"/>
  <c r="AO54" i="6"/>
  <c r="AO57" i="6"/>
  <c r="AO58" i="6" s="1"/>
  <c r="AN57" i="6"/>
  <c r="AW4" i="6"/>
  <c r="AW25" i="6" s="1"/>
  <c r="AU4" i="6"/>
  <c r="AU28" i="6" s="1"/>
  <c r="AS4" i="6"/>
  <c r="AS27" i="6" s="1"/>
  <c r="AQ4" i="6"/>
  <c r="AQ27" i="6" s="1"/>
  <c r="AV4" i="6"/>
  <c r="AT4" i="6"/>
  <c r="AR4" i="6"/>
  <c r="AP4" i="6"/>
  <c r="AV3" i="6"/>
  <c r="AT3" i="6"/>
  <c r="AR3" i="6"/>
  <c r="AP3" i="6"/>
  <c r="K113" i="6" l="1"/>
  <c r="M113" i="6" s="1"/>
  <c r="AQ15" i="6"/>
  <c r="AQ25" i="6"/>
  <c r="AQ24" i="6"/>
  <c r="AQ9" i="6"/>
  <c r="AW24" i="6"/>
  <c r="AW9" i="6"/>
  <c r="AW15" i="6"/>
  <c r="AU25" i="6"/>
  <c r="AU9" i="6"/>
  <c r="AU15" i="6"/>
  <c r="AU24" i="6"/>
  <c r="AS25" i="6"/>
  <c r="AS15" i="6"/>
  <c r="AS9" i="6"/>
  <c r="AS24" i="6"/>
  <c r="AU26" i="6"/>
  <c r="AU27" i="6"/>
  <c r="AW26" i="6"/>
  <c r="AW28" i="6"/>
  <c r="AW27" i="6"/>
  <c r="AS26" i="6"/>
  <c r="AQ26" i="6"/>
  <c r="AP27" i="6"/>
  <c r="AP28" i="6"/>
  <c r="AR27" i="6"/>
  <c r="AR28" i="6"/>
  <c r="AR22" i="6"/>
  <c r="AT28" i="6"/>
  <c r="AT22" i="6"/>
  <c r="AV28" i="6"/>
  <c r="AV22" i="6"/>
  <c r="AP22" i="6"/>
  <c r="AP23" i="6" s="1"/>
  <c r="AT27" i="6"/>
  <c r="AV27" i="6"/>
  <c r="AQ22" i="6"/>
  <c r="AQ23" i="6" s="1"/>
  <c r="AQ28" i="6"/>
  <c r="AS22" i="6"/>
  <c r="AS23" i="6" s="1"/>
  <c r="AS28" i="6"/>
  <c r="AU22" i="6"/>
  <c r="AU23" i="6" s="1"/>
  <c r="AW22" i="6"/>
  <c r="AW23" i="6" s="1"/>
  <c r="K114" i="6" l="1"/>
  <c r="M114" i="6" s="1"/>
  <c r="AT36" i="6"/>
  <c r="AV36" i="6"/>
  <c r="AR35" i="6"/>
  <c r="AR23" i="6"/>
  <c r="AV35" i="6"/>
  <c r="AV23" i="6"/>
  <c r="AT35" i="6"/>
  <c r="AT23" i="6"/>
  <c r="AR36" i="6"/>
  <c r="AP35" i="6"/>
  <c r="AP36" i="6"/>
  <c r="K115" i="6" l="1"/>
  <c r="M115" i="6" s="1"/>
  <c r="AM29" i="6"/>
  <c r="AK29" i="6"/>
  <c r="AI29" i="6"/>
  <c r="AG29" i="6"/>
  <c r="AN4" i="6"/>
  <c r="AN27" i="6" s="1"/>
  <c r="AM4" i="6"/>
  <c r="AL4" i="6"/>
  <c r="AL28" i="6" s="1"/>
  <c r="AK4" i="6"/>
  <c r="AJ4" i="6"/>
  <c r="AJ26" i="6" s="1"/>
  <c r="AI4" i="6"/>
  <c r="AH4" i="6"/>
  <c r="AG4" i="6"/>
  <c r="AM3" i="6"/>
  <c r="AM28" i="6" s="1"/>
  <c r="AK3" i="6"/>
  <c r="AK22" i="6" s="1"/>
  <c r="AK23" i="6" s="1"/>
  <c r="AI3" i="6"/>
  <c r="AI22" i="6" s="1"/>
  <c r="AI23" i="6" s="1"/>
  <c r="AG3" i="6"/>
  <c r="AG28" i="6" s="1"/>
  <c r="D69" i="3"/>
  <c r="M63" i="3"/>
  <c r="M64" i="3"/>
  <c r="M65" i="3"/>
  <c r="M62" i="3"/>
  <c r="AR25" i="6"/>
  <c r="AT25" i="6"/>
  <c r="L65" i="3"/>
  <c r="AV25" i="6" s="1"/>
  <c r="AP25" i="6"/>
  <c r="F65" i="3"/>
  <c r="T65" i="3" s="1"/>
  <c r="AM6" i="6" s="1"/>
  <c r="F64" i="3"/>
  <c r="T64" i="3" s="1"/>
  <c r="AK6" i="6" s="1"/>
  <c r="F63" i="3"/>
  <c r="T63" i="3" s="1"/>
  <c r="AI6" i="6" s="1"/>
  <c r="F62" i="3"/>
  <c r="T62" i="3" s="1"/>
  <c r="AG6" i="6" s="1"/>
  <c r="E65" i="3"/>
  <c r="G65" i="3" s="1"/>
  <c r="S65" i="3" s="1"/>
  <c r="E64" i="3"/>
  <c r="G64" i="3" s="1"/>
  <c r="S64" i="3" s="1"/>
  <c r="AK5" i="6" s="1"/>
  <c r="E63" i="3"/>
  <c r="G63" i="3" s="1"/>
  <c r="S63" i="3" s="1"/>
  <c r="AI5" i="6" s="1"/>
  <c r="E62" i="3"/>
  <c r="G62" i="3" s="1"/>
  <c r="S62" i="3" s="1"/>
  <c r="AG5" i="6" s="1"/>
  <c r="D65" i="3"/>
  <c r="D64" i="3"/>
  <c r="D63" i="3"/>
  <c r="D62" i="3"/>
  <c r="K116" i="6" l="1"/>
  <c r="M116" i="6" s="1"/>
  <c r="AM5" i="6"/>
  <c r="AM8" i="6" s="1"/>
  <c r="AN8" i="6" s="1"/>
  <c r="AR15" i="6"/>
  <c r="AR24" i="6"/>
  <c r="AR26" i="6" s="1"/>
  <c r="AR9" i="6"/>
  <c r="AP9" i="6"/>
  <c r="AP24" i="6"/>
  <c r="AP15" i="6"/>
  <c r="AT15" i="6"/>
  <c r="AT9" i="6"/>
  <c r="AT24" i="6"/>
  <c r="AT26" i="6" s="1"/>
  <c r="AN15" i="6"/>
  <c r="AK7" i="6"/>
  <c r="AN24" i="6"/>
  <c r="AL9" i="6"/>
  <c r="AG34" i="6"/>
  <c r="AV15" i="6"/>
  <c r="AV24" i="6"/>
  <c r="AV9" i="6"/>
  <c r="AI33" i="6"/>
  <c r="AG33" i="6"/>
  <c r="AN22" i="6"/>
  <c r="AN23" i="6" s="1"/>
  <c r="AM27" i="6"/>
  <c r="AI27" i="6"/>
  <c r="AK27" i="6"/>
  <c r="AL26" i="6"/>
  <c r="AK34" i="6"/>
  <c r="AN26" i="6"/>
  <c r="AM34" i="6"/>
  <c r="AG27" i="6"/>
  <c r="AI28" i="6"/>
  <c r="AK28" i="6"/>
  <c r="AM14" i="6"/>
  <c r="AN14" i="6" s="1"/>
  <c r="AM22" i="6"/>
  <c r="AH26" i="6"/>
  <c r="AG14" i="6"/>
  <c r="AH14" i="6" s="1"/>
  <c r="AH22" i="6"/>
  <c r="AH9" i="6"/>
  <c r="AI14" i="6"/>
  <c r="AJ14" i="6" s="1"/>
  <c r="AJ9" i="6"/>
  <c r="AJ25" i="6"/>
  <c r="AJ22" i="6"/>
  <c r="AI36" i="6" s="1"/>
  <c r="AJ27" i="6"/>
  <c r="AH25" i="6"/>
  <c r="AK36" i="6"/>
  <c r="AK14" i="6"/>
  <c r="AL8" i="6"/>
  <c r="AK35" i="6"/>
  <c r="AL25" i="6"/>
  <c r="AL27" i="6"/>
  <c r="AL23" i="6"/>
  <c r="AH27" i="6"/>
  <c r="AH15" i="6"/>
  <c r="AJ15" i="6"/>
  <c r="AH24" i="6"/>
  <c r="AL22" i="6"/>
  <c r="AL14" i="6"/>
  <c r="AL15" i="6"/>
  <c r="AJ24" i="6"/>
  <c r="AH28" i="6"/>
  <c r="AL24" i="6"/>
  <c r="AJ28" i="6"/>
  <c r="AI34" i="6"/>
  <c r="AN9" i="6"/>
  <c r="AN28" i="6"/>
  <c r="AG22" i="6"/>
  <c r="AG23" i="6" s="1"/>
  <c r="AN25" i="6"/>
  <c r="G99" i="6"/>
  <c r="AA57" i="6"/>
  <c r="AA58" i="6" s="1"/>
  <c r="Z57" i="6"/>
  <c r="AA54" i="6"/>
  <c r="AA3" i="6"/>
  <c r="AA22" i="6" s="1"/>
  <c r="AA36" i="6" s="1"/>
  <c r="X4" i="6"/>
  <c r="R4" i="6"/>
  <c r="P4" i="6"/>
  <c r="AL29" i="6" s="1"/>
  <c r="N4" i="6"/>
  <c r="AJ29" i="6" s="1"/>
  <c r="L4" i="6"/>
  <c r="AH29" i="6" s="1"/>
  <c r="AA6" i="6"/>
  <c r="AN29" i="6" l="1"/>
  <c r="R24" i="6"/>
  <c r="K117" i="6"/>
  <c r="M117" i="6" s="1"/>
  <c r="AM36" i="6"/>
  <c r="AM23" i="6"/>
  <c r="AM7" i="6"/>
  <c r="AM33" i="6"/>
  <c r="AG36" i="6"/>
  <c r="AK33" i="6"/>
  <c r="AK8" i="6"/>
  <c r="AN16" i="6"/>
  <c r="AG35" i="6"/>
  <c r="AI8" i="6"/>
  <c r="AJ8" i="6" s="1"/>
  <c r="AJ10" i="6" s="1"/>
  <c r="AI7" i="6"/>
  <c r="AJ23" i="6"/>
  <c r="AI35" i="6"/>
  <c r="AG8" i="6"/>
  <c r="AH8" i="6" s="1"/>
  <c r="AH23" i="6"/>
  <c r="AM35" i="6"/>
  <c r="AN10" i="6"/>
  <c r="AG7" i="6"/>
  <c r="AL21" i="6"/>
  <c r="AL10" i="6"/>
  <c r="AJ16" i="6"/>
  <c r="AH16" i="6"/>
  <c r="AL16" i="6"/>
  <c r="AA24" i="6"/>
  <c r="AA26" i="6"/>
  <c r="AA35" i="6"/>
  <c r="AA23" i="6"/>
  <c r="AA28" i="6"/>
  <c r="AA27" i="6"/>
  <c r="K118" i="6" l="1"/>
  <c r="M118" i="6" s="1"/>
  <c r="AH10" i="6"/>
  <c r="F99" i="6"/>
  <c r="L27" i="3"/>
  <c r="L12" i="3"/>
  <c r="AG25" i="6" s="1"/>
  <c r="K5" i="6"/>
  <c r="M5" i="6"/>
  <c r="O5" i="6"/>
  <c r="Q5" i="6"/>
  <c r="K119" i="6" l="1"/>
  <c r="M119" i="6" s="1"/>
  <c r="AG24" i="6"/>
  <c r="AG26" i="6" s="1"/>
  <c r="AG15" i="6"/>
  <c r="AG16" i="6" s="1"/>
  <c r="AG17" i="6" s="1"/>
  <c r="AG18" i="6" s="1"/>
  <c r="AG9" i="6"/>
  <c r="AG10" i="6" s="1"/>
  <c r="AG11" i="6" s="1"/>
  <c r="AG12" i="6" s="1"/>
  <c r="W29" i="6"/>
  <c r="K120" i="6" l="1"/>
  <c r="M120" i="6" s="1"/>
  <c r="AG19" i="6"/>
  <c r="AH19" i="6"/>
  <c r="D54" i="6"/>
  <c r="W54" i="6"/>
  <c r="K121" i="6" l="1"/>
  <c r="M121" i="6" s="1"/>
  <c r="AH13" i="6"/>
  <c r="AH21" i="6" s="1"/>
  <c r="AG13" i="6"/>
  <c r="AG21" i="6" s="1"/>
  <c r="W4" i="6"/>
  <c r="W33" i="6" s="1"/>
  <c r="W3" i="6"/>
  <c r="W22" i="6" s="1"/>
  <c r="W23" i="6" s="1"/>
  <c r="D57" i="6"/>
  <c r="I50" i="3"/>
  <c r="D50" i="3"/>
  <c r="W8" i="6" l="1"/>
  <c r="X8" i="6" s="1"/>
  <c r="K122" i="6"/>
  <c r="M122" i="6" s="1"/>
  <c r="W34" i="6"/>
  <c r="H109" i="6"/>
  <c r="H110" i="6"/>
  <c r="H111" i="6"/>
  <c r="H112" i="6"/>
  <c r="H108" i="6"/>
  <c r="X24" i="6"/>
  <c r="X29" i="6"/>
  <c r="W24" i="6"/>
  <c r="W25" i="6"/>
  <c r="W9" i="6"/>
  <c r="W15" i="6"/>
  <c r="X27" i="6"/>
  <c r="W28" i="6"/>
  <c r="X26" i="6"/>
  <c r="X22" i="6"/>
  <c r="W36" i="6" s="1"/>
  <c r="X25" i="6"/>
  <c r="W27" i="6"/>
  <c r="W14" i="6"/>
  <c r="W7" i="6"/>
  <c r="X28" i="6"/>
  <c r="X15" i="6"/>
  <c r="X9" i="6"/>
  <c r="K3" i="6"/>
  <c r="K28" i="6" s="1"/>
  <c r="M3" i="6"/>
  <c r="O3" i="6"/>
  <c r="Q3" i="6"/>
  <c r="K4" i="6"/>
  <c r="K25" i="6"/>
  <c r="R12" i="3"/>
  <c r="AK25" i="6" s="1"/>
  <c r="AK26" i="6" s="1"/>
  <c r="K123" i="6" l="1"/>
  <c r="M123" i="6" s="1"/>
  <c r="W26" i="6"/>
  <c r="X23" i="6"/>
  <c r="W10" i="6"/>
  <c r="W16" i="6"/>
  <c r="X14" i="6"/>
  <c r="X16" i="6" s="1"/>
  <c r="X10" i="6"/>
  <c r="W35" i="6"/>
  <c r="F96" i="6" s="1"/>
  <c r="R28" i="6"/>
  <c r="M28" i="6"/>
  <c r="O28" i="6"/>
  <c r="Q28" i="6"/>
  <c r="M27" i="6"/>
  <c r="O27" i="6"/>
  <c r="Q27" i="6"/>
  <c r="R22" i="6"/>
  <c r="R23" i="6" s="1"/>
  <c r="R25" i="6"/>
  <c r="R26" i="6"/>
  <c r="K27" i="6"/>
  <c r="K22" i="6"/>
  <c r="K23" i="6" s="1"/>
  <c r="M22" i="6"/>
  <c r="O22" i="6"/>
  <c r="Q22" i="6"/>
  <c r="Q23" i="6" s="1"/>
  <c r="O25" i="6"/>
  <c r="O12" i="3"/>
  <c r="K124" i="6" l="1"/>
  <c r="M124" i="6" s="1"/>
  <c r="AP26" i="6"/>
  <c r="AM25" i="6"/>
  <c r="M25" i="6"/>
  <c r="AI25" i="6"/>
  <c r="F98" i="6"/>
  <c r="F100" i="6" s="1"/>
  <c r="M51" i="3" s="1"/>
  <c r="O23" i="6"/>
  <c r="M23" i="6"/>
  <c r="Q25" i="6"/>
  <c r="W17" i="6"/>
  <c r="W18" i="6" s="1"/>
  <c r="W19" i="6" s="1"/>
  <c r="W11" i="6"/>
  <c r="W12" i="6" s="1"/>
  <c r="Q29" i="6"/>
  <c r="O29" i="6"/>
  <c r="M29" i="6"/>
  <c r="K29" i="6"/>
  <c r="K125" i="6" l="1"/>
  <c r="M125" i="6" s="1"/>
  <c r="X13" i="6"/>
  <c r="X19" i="6"/>
  <c r="Q6" i="6"/>
  <c r="O6" i="6"/>
  <c r="M6" i="6"/>
  <c r="K6" i="6"/>
  <c r="Q4" i="6"/>
  <c r="Q36" i="6" s="1"/>
  <c r="O4" i="6"/>
  <c r="M4" i="6"/>
  <c r="B37" i="9"/>
  <c r="B40" i="9" s="1"/>
  <c r="G12" i="9"/>
  <c r="G32" i="9" s="1"/>
  <c r="G24" i="9"/>
  <c r="B21" i="9"/>
  <c r="B28" i="9" s="1"/>
  <c r="D71" i="3"/>
  <c r="K126" i="6" l="1"/>
  <c r="M126" i="6" s="1"/>
  <c r="O35" i="6"/>
  <c r="O8" i="6"/>
  <c r="W13" i="6"/>
  <c r="W21" i="6" s="1"/>
  <c r="X21" i="6"/>
  <c r="O14" i="6"/>
  <c r="Q14" i="6"/>
  <c r="R14" i="6" s="1"/>
  <c r="P15" i="6"/>
  <c r="P9" i="6"/>
  <c r="P14" i="6"/>
  <c r="R15" i="6"/>
  <c r="R9" i="6"/>
  <c r="Q35" i="6"/>
  <c r="P8" i="6"/>
  <c r="P21" i="6" s="1"/>
  <c r="L9" i="6"/>
  <c r="L15" i="6"/>
  <c r="Q33" i="6"/>
  <c r="Q8" i="6"/>
  <c r="R8" i="6" s="1"/>
  <c r="K14" i="6"/>
  <c r="L14" i="6" s="1"/>
  <c r="K33" i="6"/>
  <c r="K8" i="6"/>
  <c r="L8" i="6" s="1"/>
  <c r="M8" i="6"/>
  <c r="N8" i="6" s="1"/>
  <c r="N9" i="6"/>
  <c r="M14" i="6"/>
  <c r="N14" i="6" s="1"/>
  <c r="N15" i="6"/>
  <c r="N28" i="6"/>
  <c r="P28" i="6"/>
  <c r="L28" i="6"/>
  <c r="M33" i="6"/>
  <c r="M34" i="6"/>
  <c r="K34" i="6"/>
  <c r="O34" i="6"/>
  <c r="O33" i="6"/>
  <c r="Q34" i="6"/>
  <c r="Q7" i="6"/>
  <c r="M7" i="6"/>
  <c r="O7" i="6"/>
  <c r="K7" i="6"/>
  <c r="N22" i="6"/>
  <c r="N23" i="6" s="1"/>
  <c r="N26" i="6"/>
  <c r="N25" i="6"/>
  <c r="N24" i="6"/>
  <c r="L25" i="6"/>
  <c r="L22" i="6"/>
  <c r="K36" i="6" s="1"/>
  <c r="L24" i="6"/>
  <c r="L27" i="6"/>
  <c r="L26" i="6"/>
  <c r="P26" i="6"/>
  <c r="P25" i="6"/>
  <c r="P24" i="6"/>
  <c r="P22" i="6"/>
  <c r="P23" i="6" s="1"/>
  <c r="N29" i="6"/>
  <c r="N27" i="6"/>
  <c r="L29" i="6"/>
  <c r="P29" i="6"/>
  <c r="P27" i="6"/>
  <c r="R29" i="6"/>
  <c r="R27" i="6"/>
  <c r="G33" i="9"/>
  <c r="G46" i="9" s="1"/>
  <c r="D89" i="6"/>
  <c r="D91" i="6"/>
  <c r="D88" i="6"/>
  <c r="D86" i="6"/>
  <c r="D90" i="6"/>
  <c r="D87" i="6"/>
  <c r="U25" i="3"/>
  <c r="U21" i="3"/>
  <c r="U23" i="3" s="1"/>
  <c r="H88" i="6"/>
  <c r="H89" i="6" s="1"/>
  <c r="H90" i="6" s="1"/>
  <c r="H91" i="6" s="1"/>
  <c r="K127" i="6" l="1"/>
  <c r="M127" i="6" s="1"/>
  <c r="M35" i="6"/>
  <c r="W52" i="6"/>
  <c r="W53" i="6"/>
  <c r="O36" i="6"/>
  <c r="M36" i="6"/>
  <c r="L23" i="6"/>
  <c r="P16" i="6"/>
  <c r="R16" i="6"/>
  <c r="L16" i="6"/>
  <c r="K35" i="6"/>
  <c r="N16" i="6"/>
  <c r="O17" i="3"/>
  <c r="L17" i="3"/>
  <c r="AD19" i="3"/>
  <c r="U27" i="3"/>
  <c r="Q24" i="6" s="1"/>
  <c r="Q26" i="6" s="1"/>
  <c r="R27" i="3"/>
  <c r="R25" i="3"/>
  <c r="O27" i="3"/>
  <c r="O25" i="3"/>
  <c r="K15" i="6"/>
  <c r="K16" i="6" s="1"/>
  <c r="L25" i="3"/>
  <c r="R21" i="3"/>
  <c r="R23" i="3" s="1"/>
  <c r="O21" i="3"/>
  <c r="O23" i="3" s="1"/>
  <c r="L21" i="3"/>
  <c r="L23" i="3" s="1"/>
  <c r="D62" i="6"/>
  <c r="D61" i="6"/>
  <c r="D60" i="6"/>
  <c r="D59" i="6"/>
  <c r="D58" i="6"/>
  <c r="K128" i="6" l="1"/>
  <c r="M128" i="6" s="1"/>
  <c r="D97" i="6"/>
  <c r="AM9" i="6"/>
  <c r="AM10" i="6" s="1"/>
  <c r="AM11" i="6" s="1"/>
  <c r="AM12" i="6" s="1"/>
  <c r="AM15" i="6"/>
  <c r="AM16" i="6" s="1"/>
  <c r="AM17" i="6" s="1"/>
  <c r="AM18" i="6" s="1"/>
  <c r="AM24" i="6"/>
  <c r="AM26" i="6" s="1"/>
  <c r="M24" i="6"/>
  <c r="M26" i="6" s="1"/>
  <c r="AI9" i="6"/>
  <c r="AI10" i="6" s="1"/>
  <c r="AI11" i="6" s="1"/>
  <c r="AI12" i="6" s="1"/>
  <c r="AI24" i="6"/>
  <c r="AI26" i="6" s="1"/>
  <c r="AI15" i="6"/>
  <c r="AI16" i="6" s="1"/>
  <c r="AI17" i="6" s="1"/>
  <c r="AI18" i="6" s="1"/>
  <c r="AK9" i="6"/>
  <c r="AK10" i="6" s="1"/>
  <c r="AK11" i="6" s="1"/>
  <c r="AK12" i="6" s="1"/>
  <c r="AK24" i="6"/>
  <c r="AK15" i="6"/>
  <c r="AK16" i="6" s="1"/>
  <c r="AK17" i="6" s="1"/>
  <c r="AK18" i="6" s="1"/>
  <c r="D96" i="6"/>
  <c r="G97" i="6"/>
  <c r="W55" i="6"/>
  <c r="AD21" i="3"/>
  <c r="H114" i="6"/>
  <c r="H115" i="6"/>
  <c r="H116" i="6"/>
  <c r="H117" i="6"/>
  <c r="H113" i="6"/>
  <c r="AD23" i="3"/>
  <c r="H122" i="6"/>
  <c r="H118" i="6"/>
  <c r="H119" i="6"/>
  <c r="H120" i="6"/>
  <c r="H121" i="6"/>
  <c r="AD25" i="3"/>
  <c r="H124" i="6"/>
  <c r="H125" i="6"/>
  <c r="H126" i="6"/>
  <c r="H127" i="6"/>
  <c r="H123" i="6"/>
  <c r="AD27" i="3"/>
  <c r="H129" i="6"/>
  <c r="H130" i="6"/>
  <c r="H131" i="6"/>
  <c r="H132" i="6"/>
  <c r="H128" i="6"/>
  <c r="AD29" i="3"/>
  <c r="H133" i="6"/>
  <c r="O15" i="6"/>
  <c r="O16" i="6" s="1"/>
  <c r="O17" i="6" s="1"/>
  <c r="M15" i="6"/>
  <c r="M16" i="6" s="1"/>
  <c r="M17" i="6" s="1"/>
  <c r="M18" i="6" s="1"/>
  <c r="M9" i="6"/>
  <c r="Q15" i="6"/>
  <c r="Q16" i="6" s="1"/>
  <c r="Q17" i="6" s="1"/>
  <c r="Q18" i="6" s="1"/>
  <c r="R19" i="6" s="1"/>
  <c r="Q9" i="6"/>
  <c r="Q10" i="6" s="1"/>
  <c r="K17" i="6"/>
  <c r="K18" i="6" s="1"/>
  <c r="E96" i="6"/>
  <c r="E97" i="6"/>
  <c r="O9" i="6"/>
  <c r="O10" i="6" s="1"/>
  <c r="O24" i="6"/>
  <c r="O26" i="6" s="1"/>
  <c r="K9" i="6"/>
  <c r="K10" i="6" s="1"/>
  <c r="K24" i="6"/>
  <c r="K26" i="6" s="1"/>
  <c r="K129" i="6" l="1"/>
  <c r="M129" i="6" s="1"/>
  <c r="L19" i="6"/>
  <c r="AP6" i="6"/>
  <c r="N19" i="6"/>
  <c r="AR6" i="6"/>
  <c r="AV6" i="6"/>
  <c r="V65" i="3" s="1"/>
  <c r="AK13" i="6"/>
  <c r="O18" i="6"/>
  <c r="O19" i="6" s="1"/>
  <c r="AI13" i="6"/>
  <c r="AJ13" i="6"/>
  <c r="AN19" i="6"/>
  <c r="AM19" i="6"/>
  <c r="AV26" i="6"/>
  <c r="AI19" i="6"/>
  <c r="AJ19" i="6"/>
  <c r="AL19" i="6"/>
  <c r="AK19" i="6"/>
  <c r="W57" i="6"/>
  <c r="W58" i="6" s="1"/>
  <c r="K19" i="6"/>
  <c r="Q19" i="6"/>
  <c r="M19" i="6"/>
  <c r="E98" i="6"/>
  <c r="N10" i="6"/>
  <c r="M10" i="6"/>
  <c r="J120" i="6" l="1"/>
  <c r="N120" i="6" s="1"/>
  <c r="J132" i="6"/>
  <c r="J124" i="6"/>
  <c r="N124" i="6" s="1"/>
  <c r="J114" i="6"/>
  <c r="N114" i="6" s="1"/>
  <c r="J121" i="6"/>
  <c r="N121" i="6" s="1"/>
  <c r="J133" i="6"/>
  <c r="J123" i="6"/>
  <c r="N123" i="6" s="1"/>
  <c r="J112" i="6"/>
  <c r="N112" i="6" s="1"/>
  <c r="J125" i="6"/>
  <c r="N125" i="6" s="1"/>
  <c r="J115" i="6"/>
  <c r="N115" i="6" s="1"/>
  <c r="J110" i="6"/>
  <c r="N110" i="6" s="1"/>
  <c r="J122" i="6"/>
  <c r="N122" i="6" s="1"/>
  <c r="J109" i="6"/>
  <c r="N109" i="6" s="1"/>
  <c r="J111" i="6"/>
  <c r="N111" i="6" s="1"/>
  <c r="J113" i="6"/>
  <c r="N113" i="6" s="1"/>
  <c r="J126" i="6"/>
  <c r="N126" i="6" s="1"/>
  <c r="J116" i="6"/>
  <c r="N116" i="6" s="1"/>
  <c r="J128" i="6"/>
  <c r="N128" i="6" s="1"/>
  <c r="J118" i="6"/>
  <c r="N118" i="6" s="1"/>
  <c r="J130" i="6"/>
  <c r="J119" i="6"/>
  <c r="N119" i="6" s="1"/>
  <c r="J127" i="6"/>
  <c r="N127" i="6" s="1"/>
  <c r="J117" i="6"/>
  <c r="N117" i="6" s="1"/>
  <c r="J129" i="6"/>
  <c r="N129" i="6" s="1"/>
  <c r="J131" i="6"/>
  <c r="K130" i="6"/>
  <c r="M130" i="6" s="1"/>
  <c r="AT6" i="6"/>
  <c r="V64" i="3" s="1"/>
  <c r="E100" i="6"/>
  <c r="E104" i="6"/>
  <c r="AV34" i="6"/>
  <c r="AV14" i="6"/>
  <c r="AW14" i="6" s="1"/>
  <c r="AW16" i="6" s="1"/>
  <c r="V63" i="3"/>
  <c r="AR14" i="6"/>
  <c r="AR34" i="6"/>
  <c r="V62" i="3"/>
  <c r="AP34" i="6"/>
  <c r="AP14" i="6"/>
  <c r="AP16" i="6" s="1"/>
  <c r="AJ21" i="6"/>
  <c r="AN13" i="6"/>
  <c r="AN21" i="6" s="1"/>
  <c r="P19" i="6"/>
  <c r="AL13" i="6"/>
  <c r="AM13" i="6"/>
  <c r="AM21" i="6" s="1"/>
  <c r="AK21" i="6"/>
  <c r="AI21" i="6"/>
  <c r="P10" i="6"/>
  <c r="O11" i="6" s="1"/>
  <c r="O12" i="6" s="1"/>
  <c r="L10" i="6"/>
  <c r="K11" i="6" s="1"/>
  <c r="K12" i="6" s="1"/>
  <c r="M11" i="6"/>
  <c r="M12" i="6" s="1"/>
  <c r="R10" i="6"/>
  <c r="K131" i="6" l="1"/>
  <c r="M131" i="6" s="1"/>
  <c r="N130" i="6"/>
  <c r="AT14" i="6"/>
  <c r="AU14" i="6" s="1"/>
  <c r="AU16" i="6" s="1"/>
  <c r="AT34" i="6"/>
  <c r="AT53" i="6" s="1"/>
  <c r="AV16" i="6"/>
  <c r="AV17" i="6" s="1"/>
  <c r="AV18" i="6" s="1"/>
  <c r="AW19" i="6" s="1"/>
  <c r="AQ14" i="6"/>
  <c r="AQ16" i="6" s="1"/>
  <c r="AP17" i="6" s="1"/>
  <c r="AP18" i="6" s="1"/>
  <c r="AS14" i="6"/>
  <c r="AS16" i="6" s="1"/>
  <c r="AR16" i="6"/>
  <c r="Q11" i="6"/>
  <c r="Q12" i="6" s="1"/>
  <c r="K132" i="6" l="1"/>
  <c r="M132" i="6" s="1"/>
  <c r="N131" i="6"/>
  <c r="AT16" i="6"/>
  <c r="AT17" i="6" s="1"/>
  <c r="AT18" i="6" s="1"/>
  <c r="AT19" i="6" s="1"/>
  <c r="AT5" i="6"/>
  <c r="U64" i="3" s="1"/>
  <c r="O13" i="6"/>
  <c r="O21" i="6" s="1"/>
  <c r="AP5" i="6"/>
  <c r="U62" i="3" s="1"/>
  <c r="K13" i="6"/>
  <c r="K21" i="6" s="1"/>
  <c r="AR5" i="6"/>
  <c r="U63" i="3" s="1"/>
  <c r="M13" i="6"/>
  <c r="M21" i="6" s="1"/>
  <c r="AV19" i="6"/>
  <c r="AQ19" i="6"/>
  <c r="AP19" i="6"/>
  <c r="AR17" i="6"/>
  <c r="AR18" i="6" s="1"/>
  <c r="M40" i="6"/>
  <c r="L13" i="6"/>
  <c r="L21" i="6" s="1"/>
  <c r="P13" i="6"/>
  <c r="N13" i="6"/>
  <c r="N21" i="6" s="1"/>
  <c r="D98" i="6"/>
  <c r="C104" i="6" l="1"/>
  <c r="C105" i="6" s="1"/>
  <c r="C106" i="6" s="1"/>
  <c r="J108" i="6"/>
  <c r="N108" i="6" s="1"/>
  <c r="K133" i="6"/>
  <c r="M133" i="6" s="1"/>
  <c r="N133" i="6" s="1"/>
  <c r="N132" i="6"/>
  <c r="AU19" i="6"/>
  <c r="D100" i="6"/>
  <c r="L38" i="3" s="1"/>
  <c r="D72" i="3" s="1"/>
  <c r="D104" i="6"/>
  <c r="D105" i="6" s="1"/>
  <c r="D106" i="6" s="1"/>
  <c r="AT33" i="6"/>
  <c r="AT8" i="6"/>
  <c r="AT10" i="6" s="1"/>
  <c r="AP33" i="6"/>
  <c r="AP8" i="6"/>
  <c r="AP10" i="6" s="1"/>
  <c r="M42" i="6"/>
  <c r="N42" i="6" s="1"/>
  <c r="M41" i="6"/>
  <c r="L40" i="6"/>
  <c r="L41" i="6" s="1"/>
  <c r="AR33" i="6"/>
  <c r="AV5" i="6"/>
  <c r="Q13" i="6"/>
  <c r="Q21" i="6" s="1"/>
  <c r="M51" i="6"/>
  <c r="N51" i="6" s="1"/>
  <c r="AR8" i="6"/>
  <c r="AR10" i="6" s="1"/>
  <c r="AR19" i="6"/>
  <c r="AS19" i="6"/>
  <c r="R13" i="6"/>
  <c r="R21" i="6" s="1"/>
  <c r="D68" i="3"/>
  <c r="F89" i="6"/>
  <c r="F86" i="6"/>
  <c r="F90" i="6"/>
  <c r="F88" i="6"/>
  <c r="F91" i="6"/>
  <c r="F87" i="6"/>
  <c r="D52" i="6" l="1"/>
  <c r="D53" i="6"/>
  <c r="AU8" i="6"/>
  <c r="AU10" i="6" s="1"/>
  <c r="AT11" i="6" s="1"/>
  <c r="AV33" i="6"/>
  <c r="AT52" i="6" s="1"/>
  <c r="AT54" i="6" s="1"/>
  <c r="U65" i="3"/>
  <c r="U71" i="3" s="1"/>
  <c r="AQ8" i="6"/>
  <c r="AQ10" i="6" s="1"/>
  <c r="AP11" i="6" s="1"/>
  <c r="AV8" i="6"/>
  <c r="AV10" i="6" s="1"/>
  <c r="N41" i="6"/>
  <c r="AS8" i="6"/>
  <c r="AS10" i="6" s="1"/>
  <c r="AR11" i="6" s="1"/>
  <c r="AR12" i="6" l="1"/>
  <c r="AS13" i="6" s="1"/>
  <c r="AS21" i="6" s="1"/>
  <c r="AP12" i="6"/>
  <c r="AQ13" i="6" s="1"/>
  <c r="AQ21" i="6" s="1"/>
  <c r="AT12" i="6"/>
  <c r="AU13" i="6" s="1"/>
  <c r="AU21" i="6" s="1"/>
  <c r="D55" i="6"/>
  <c r="E71" i="6" s="1"/>
  <c r="E86" i="6" s="1"/>
  <c r="E111" i="6" s="1"/>
  <c r="AW8" i="6"/>
  <c r="AW10" i="6" s="1"/>
  <c r="AV11" i="6" s="1"/>
  <c r="AR13" i="6" l="1"/>
  <c r="AR21" i="6" s="1"/>
  <c r="AP13" i="6"/>
  <c r="AP21" i="6" s="1"/>
  <c r="AT13" i="6"/>
  <c r="AT21" i="6" s="1"/>
  <c r="AV12" i="6"/>
  <c r="U68" i="3" s="1"/>
  <c r="AI13" i="3"/>
  <c r="E75" i="6"/>
  <c r="F75" i="6" s="1"/>
  <c r="D132" i="6" s="1"/>
  <c r="E72" i="6"/>
  <c r="E87" i="6" s="1"/>
  <c r="G87" i="6" s="1"/>
  <c r="E74" i="6"/>
  <c r="E89" i="6" s="1"/>
  <c r="E125" i="6" s="1"/>
  <c r="E73" i="6"/>
  <c r="F73" i="6" s="1"/>
  <c r="D120" i="6" s="1"/>
  <c r="E76" i="6"/>
  <c r="E91" i="6" s="1"/>
  <c r="E133" i="6" s="1"/>
  <c r="G86" i="6"/>
  <c r="E112" i="6"/>
  <c r="E108" i="6"/>
  <c r="G108" i="6" s="1"/>
  <c r="AK19" i="3" s="1"/>
  <c r="F71" i="6"/>
  <c r="E110" i="6"/>
  <c r="E109" i="6"/>
  <c r="AW13" i="6" l="1"/>
  <c r="AW21" i="6" s="1"/>
  <c r="AV13" i="6"/>
  <c r="AV21" i="6" s="1"/>
  <c r="D131" i="6"/>
  <c r="D130" i="6"/>
  <c r="D128" i="6"/>
  <c r="AH27" i="3" s="1"/>
  <c r="E90" i="6"/>
  <c r="E129" i="6" s="1"/>
  <c r="D129" i="6"/>
  <c r="F74" i="6"/>
  <c r="D123" i="6" s="1"/>
  <c r="AH25" i="3" s="1"/>
  <c r="G91" i="6"/>
  <c r="D122" i="6"/>
  <c r="D121" i="6"/>
  <c r="E123" i="6"/>
  <c r="D118" i="6"/>
  <c r="AH23" i="3" s="1"/>
  <c r="D119" i="6"/>
  <c r="G89" i="6"/>
  <c r="E115" i="6"/>
  <c r="E117" i="6"/>
  <c r="E114" i="6"/>
  <c r="E113" i="6"/>
  <c r="E88" i="6"/>
  <c r="G88" i="6" s="1"/>
  <c r="F72" i="6"/>
  <c r="D116" i="6" s="1"/>
  <c r="E116" i="6"/>
  <c r="E126" i="6"/>
  <c r="E127" i="6"/>
  <c r="E124" i="6"/>
  <c r="F76" i="6"/>
  <c r="D133" i="6" s="1"/>
  <c r="AH29" i="3" s="1"/>
  <c r="D108" i="6"/>
  <c r="D111" i="6"/>
  <c r="D109" i="6"/>
  <c r="D110" i="6"/>
  <c r="D112" i="6"/>
  <c r="AO53" i="6" l="1"/>
  <c r="AO52" i="6"/>
  <c r="E128" i="6"/>
  <c r="D124" i="6"/>
  <c r="G90" i="6"/>
  <c r="E132" i="6"/>
  <c r="E131" i="6"/>
  <c r="E130" i="6"/>
  <c r="D125" i="6"/>
  <c r="D126" i="6"/>
  <c r="D127" i="6"/>
  <c r="E122" i="6"/>
  <c r="E118" i="6"/>
  <c r="E119" i="6"/>
  <c r="D113" i="6"/>
  <c r="AH21" i="3" s="1"/>
  <c r="E121" i="6"/>
  <c r="D117" i="6"/>
  <c r="D114" i="6"/>
  <c r="E120" i="6"/>
  <c r="D115" i="6"/>
  <c r="AH19" i="3"/>
  <c r="F109" i="6"/>
  <c r="G109" i="6" s="1"/>
  <c r="AO55" i="6" l="1"/>
  <c r="AO59" i="6" s="1"/>
  <c r="U70" i="3" s="1"/>
  <c r="U60" i="6"/>
  <c r="W60" i="6" s="1"/>
  <c r="D70" i="3"/>
  <c r="F110" i="6"/>
  <c r="F111" i="6" s="1"/>
  <c r="F112" i="6" s="1"/>
  <c r="F113" i="6" s="1"/>
  <c r="F114" i="6" s="1"/>
  <c r="F115" i="6" s="1"/>
  <c r="F116" i="6" s="1"/>
  <c r="F117" i="6" s="1"/>
  <c r="F118" i="6" s="1"/>
  <c r="F119" i="6" s="1"/>
  <c r="F120" i="6" s="1"/>
  <c r="F121" i="6" s="1"/>
  <c r="F122" i="6" s="1"/>
  <c r="F123" i="6" s="1"/>
  <c r="F124" i="6" s="1"/>
  <c r="F125" i="6" s="1"/>
  <c r="F126" i="6" s="1"/>
  <c r="F127" i="6" s="1"/>
  <c r="F128" i="6" s="1"/>
  <c r="F129" i="6" s="1"/>
  <c r="F130" i="6" s="1"/>
  <c r="F131" i="6" s="1"/>
  <c r="F132" i="6" s="1"/>
  <c r="F133" i="6" s="1"/>
  <c r="AO60" i="6" l="1"/>
  <c r="U73" i="3" s="1"/>
  <c r="G111" i="6"/>
  <c r="G110" i="6"/>
  <c r="G112" i="6"/>
  <c r="G113" i="6"/>
  <c r="AK21" i="3" s="1"/>
  <c r="U74" i="3" l="1"/>
  <c r="G114" i="6"/>
  <c r="G115" i="6" l="1"/>
  <c r="G116" i="6" l="1"/>
  <c r="G117" i="6" l="1"/>
  <c r="G118" i="6" l="1"/>
  <c r="AK23" i="3" s="1"/>
  <c r="G119" i="6" l="1"/>
  <c r="G120" i="6" l="1"/>
  <c r="G121" i="6" l="1"/>
  <c r="G122" i="6" l="1"/>
  <c r="G123" i="6" l="1"/>
  <c r="AK25" i="3" s="1"/>
  <c r="G124" i="6" l="1"/>
  <c r="G125" i="6" l="1"/>
  <c r="G126" i="6" l="1"/>
  <c r="G127" i="6" l="1"/>
  <c r="G128" i="6" l="1"/>
  <c r="AK27" i="3" s="1"/>
  <c r="G129" i="6" l="1"/>
  <c r="G130" i="6" l="1"/>
  <c r="G131" i="6" l="1"/>
  <c r="L42" i="3" l="1"/>
  <c r="R49" i="3" s="1"/>
  <c r="AA5" i="6" s="1"/>
  <c r="L40" i="3"/>
  <c r="G133" i="6"/>
  <c r="AK29" i="3" s="1"/>
  <c r="G132" i="6"/>
  <c r="AA21" i="6" l="1"/>
  <c r="I51" i="3"/>
  <c r="R51" i="3" s="1"/>
  <c r="D54" i="3"/>
  <c r="I54" i="3" s="1"/>
  <c r="D74" i="3"/>
  <c r="L44" i="3"/>
  <c r="D73" i="3"/>
  <c r="AA33" i="6" l="1"/>
  <c r="G96" i="6" s="1"/>
  <c r="G98" i="6" s="1"/>
  <c r="L46" i="3"/>
  <c r="D76" i="3" s="1"/>
  <c r="D75" i="3"/>
  <c r="C53" i="3"/>
  <c r="B43" i="9"/>
  <c r="G100" i="6" l="1"/>
  <c r="AT56" i="6"/>
  <c r="U72" i="3" s="1"/>
  <c r="U75" i="3" s="1"/>
  <c r="U76" i="3" s="1"/>
  <c r="U78" i="3" l="1"/>
  <c r="AA52" i="6"/>
  <c r="AA53" i="6"/>
  <c r="U79" i="3" l="1"/>
  <c r="V78" i="3"/>
  <c r="AA55" i="6"/>
  <c r="AA59" i="6" s="1"/>
  <c r="AA60" i="6" s="1"/>
  <c r="I55" i="3" s="1"/>
  <c r="M54" i="3" s="1"/>
  <c r="M5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tc={35113187-E922-4CBB-AC78-BDD31165B926}</author>
    <author>tc={23BA6709-A488-4201-807B-8C5D9AFF9923}</author>
  </authors>
  <commentList>
    <comment ref="AR54" authorId="0" shapeId="0" xr:uid="{35113187-E922-4CBB-AC78-BDD31165B9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Add 5% discount if Ice Class (in Calculator sheet, cell E6) is selected as 1A or 1A Super
</t>
      </text>
    </comment>
    <comment ref="AR55" authorId="1" shapeId="0" xr:uid="{23BA6709-A488-4201-807B-8C5D9AFF9923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Penalty Calculator sheet O6 cell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tc={73B22D44-0C37-4C33-BFDE-D7A7DB1F0994}</author>
    <author>tc={3999B9F0-E647-45CC-A0B5-1914A746ED41}</author>
    <author>tc={A7788F04-9CF9-4981-8976-C31FF9122D83}</author>
    <author>tc={4B8878C6-F5E8-4466-8629-86FACB7860B4}</author>
    <author>tc={53364D26-A3D1-4331-92DC-1C64EB5B049B}</author>
    <author>tc={01CF77A4-59B1-4F05-8FD9-E19A5EB735E7}</author>
    <author>tc={106B66C0-A0AA-4C90-B39D-4633B7DE1C7B}</author>
    <author>tc={BC364DED-76F5-4274-AE8F-E01DAC5646C3}</author>
  </authors>
  <commentList>
    <comment ref="AB18" authorId="0" shapeId="0" xr:uid="{73B22D44-0C37-4C33-BFDE-D7A7DB1F099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AF18" authorId="1" shapeId="0" xr:uid="{3999B9F0-E647-45CC-A0B5-1914A746ED4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AJ18" authorId="2" shapeId="0" xr:uid="{A7788F04-9CF9-4981-8976-C31FF9122D8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AN18" authorId="3" shapeId="0" xr:uid="{4B8878C6-F5E8-4466-8629-86FACB7860B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D20" authorId="4" shapeId="0" xr:uid="{53364D26-A3D1-4331-92DC-1C64EB5B049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D21" authorId="5" shapeId="0" xr:uid="{01CF77A4-59B1-4F05-8FD9-E19A5EB735E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D22" authorId="6" shapeId="0" xr:uid="{106B66C0-A0AA-4C90-B39D-4633B7DE1C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  <comment ref="D23" authorId="7" shapeId="0" xr:uid="{BC364DED-76F5-4274-AE8F-E01DAC5646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pathway in RED, average assumed value.</t>
      </text>
    </comment>
  </commentList>
</comments>
</file>

<file path=xl/sharedStrings.xml><?xml version="1.0" encoding="utf-8"?>
<sst xmlns="http://schemas.openxmlformats.org/spreadsheetml/2006/main" count="744" uniqueCount="430">
  <si>
    <t>Departure Port</t>
  </si>
  <si>
    <t>Arrival Port</t>
  </si>
  <si>
    <t>EU Applicability - Passage</t>
  </si>
  <si>
    <t>EU Applicability - Port</t>
  </si>
  <si>
    <t>-</t>
  </si>
  <si>
    <t>Ice Class</t>
  </si>
  <si>
    <t>Reset</t>
  </si>
  <si>
    <t>Port Name   v</t>
  </si>
  <si>
    <t>WtT</t>
  </si>
  <si>
    <t>TtW</t>
  </si>
  <si>
    <t>Fuel Class</t>
  </si>
  <si>
    <t>Pathway name</t>
  </si>
  <si>
    <t>LCV
[ MJ/g ]</t>
  </si>
  <si>
    <t>CO2eq  WtT
[ gCO2eq/MJ ]</t>
  </si>
  <si>
    <t>Fuel Consumer Unit Class</t>
  </si>
  <si>
    <t>Cf CO2
[ gCO2/gFuel ]</t>
  </si>
  <si>
    <t>Cf CH4
[ gCH4/gFuel ]</t>
  </si>
  <si>
    <t>Cf N2O
[ gN2O/gFuel ]</t>
  </si>
  <si>
    <t>Cslip
As  % of  the mass  of  the fuel  used  by the  engine</t>
  </si>
  <si>
    <t>Fossil</t>
  </si>
  <si>
    <t>HFO - ISO 8217 - Grades RME to RMK</t>
  </si>
  <si>
    <t>ALL ICEs</t>
  </si>
  <si>
    <t>LFO - ISO 8217 - Grades RMA to RMD</t>
  </si>
  <si>
    <t>MDO / MGO - ISO 8217 - Grades DMX to DMB</t>
  </si>
  <si>
    <t>LNG Otto (dual fuel medium speed)</t>
  </si>
  <si>
    <t>LNG Otto (dual fuel slow speed)</t>
  </si>
  <si>
    <t>LNG Diesel (dual fuel slow speed)</t>
  </si>
  <si>
    <t>LNG - LBSI</t>
  </si>
  <si>
    <t>LBSI</t>
  </si>
  <si>
    <t>H2  (natural gas) - Fuel Cells</t>
  </si>
  <si>
    <t>Fuel Cells</t>
  </si>
  <si>
    <t>H2  (natural gas) - ICE</t>
  </si>
  <si>
    <t>ICE</t>
  </si>
  <si>
    <t>NH3 (natural gas) - Fuel Cells</t>
  </si>
  <si>
    <t>NH3 (natural gas) - ICE</t>
  </si>
  <si>
    <t>Methanol (natural gas)</t>
  </si>
  <si>
    <t>Biofuels</t>
  </si>
  <si>
    <t>Ethanol</t>
  </si>
  <si>
    <t>Values for CO2eq  WtT 
[ gCO2eq/MJ ]</t>
  </si>
  <si>
    <t>Bio-diesel</t>
  </si>
  <si>
    <t>Hydrotreated Vegetable Oil (HVO)</t>
  </si>
  <si>
    <t>Liquefied Bio- methane as transport fuel (Bio-LNG) - LNG Otto (dual fuel medium speed)</t>
  </si>
  <si>
    <t>sugar beet ethanol (no biogas from slop, natural gas as process fuel in conventional boiler)</t>
  </si>
  <si>
    <t>rape seed biodiesel</t>
  </si>
  <si>
    <t>hydrotreated vegetable oil from rape seed</t>
  </si>
  <si>
    <t>No pathways provided in RED, avergae typical value assumed.</t>
  </si>
  <si>
    <t>sugar beet ethanol (with biogas from slop, natural gas as process fuel in conventional boiler)</t>
  </si>
  <si>
    <t xml:space="preserve">sunflower biodiesel </t>
  </si>
  <si>
    <t>hydrotreated vegetable oil from sunflower</t>
  </si>
  <si>
    <t xml:space="preserve">sugar beet ethanol (no biogas from slop, natural gas as process fuel in CHP plant (*)) </t>
  </si>
  <si>
    <t>soybean biodiesel</t>
  </si>
  <si>
    <t>hydrotreated vegetable oil from soybean</t>
  </si>
  <si>
    <t>Liquefied Bio- methane as transport fuel (Bio-LNG) - LNG Otto (dual fuel slow speed)</t>
  </si>
  <si>
    <t xml:space="preserve">sugar beet ethanol (with biogas from slop, natural gas as process fuel in CHP plant (*)) </t>
  </si>
  <si>
    <t xml:space="preserve">palm oil biodiesel (open effluent pond) </t>
  </si>
  <si>
    <t>hydrotreated vegetable oil from palm oil (open effluent pond)</t>
  </si>
  <si>
    <t>Liquefied Bio- methane as transport fuel (Bio-LNG) - LNG Diesel (dual fuels)</t>
  </si>
  <si>
    <t>LNG Diesel (dual fuels)</t>
  </si>
  <si>
    <t xml:space="preserve">sugar beet ethanol (no biogas from slop, lignite as process fuel in CHP plant (*)) </t>
  </si>
  <si>
    <t xml:space="preserve">palm oil biodiesel (process with methane capture at oil mill) </t>
  </si>
  <si>
    <t xml:space="preserve">hydrotreated vegetable oil from palm oil (process with methane capture at oil mill) </t>
  </si>
  <si>
    <t>Liquefied Bio- methane as transport fuel (Bio-LNG) - LBSI</t>
  </si>
  <si>
    <t xml:space="preserve">sugar beet ethanol (with biogas from slop, lignite as process fuel in CHP plant (*)) </t>
  </si>
  <si>
    <t>waste cooking oil biodiesel</t>
  </si>
  <si>
    <t xml:space="preserve">hydrotreated oil from waste cooking oil </t>
  </si>
  <si>
    <t xml:space="preserve">corn (maize) ethanol (natural gas as process fuel in con_x0002_ventional boiler) </t>
  </si>
  <si>
    <t xml:space="preserve">animals fats from rendering biodiesel (**) </t>
  </si>
  <si>
    <t>hydrotreated oil from animal fats from rendering (**)</t>
  </si>
  <si>
    <t>Other Production Pathways of Directive (EU) 2018/2001</t>
  </si>
  <si>
    <t xml:space="preserve">corn (maize) ethanol, (natural gas as process fuel in CHP plant (*)) </t>
  </si>
  <si>
    <t>waste wood Fischer-Tropsch diesel in free-standing plant</t>
  </si>
  <si>
    <t>Bio-H2 - Fuel Cells</t>
  </si>
  <si>
    <t xml:space="preserve">corn (maize) ethanol (lignite as process fuel in CHP plant (*)) </t>
  </si>
  <si>
    <t xml:space="preserve">farmed wood Fischer-Tropsch diesel in free-standing plant </t>
  </si>
  <si>
    <t>Bio-H2 - ICE</t>
  </si>
  <si>
    <t xml:space="preserve">corn (maize) ethanol (forest residues as process fuel in CHP plant (*)) </t>
  </si>
  <si>
    <t>e-diesel</t>
  </si>
  <si>
    <t xml:space="preserve">other cereals excluding maize ethanol (natural gas as pro_x0002_cess fuel in conventional boiler) </t>
  </si>
  <si>
    <t>e-methanol</t>
  </si>
  <si>
    <t>All ICEs</t>
  </si>
  <si>
    <t xml:space="preserve">other cereals excluding maize ethanol (natural gas as pro_x0002_cess fuel in CHP plant (*)) </t>
  </si>
  <si>
    <t>e-LNG - Otto (dual fuel medium speed)</t>
  </si>
  <si>
    <t>other cereals excluding maize ethanol (lignite as process fuel in CHP plant (*))</t>
  </si>
  <si>
    <t>e-LNG - Otto (dual fuel slow speed)</t>
  </si>
  <si>
    <t>other cereals excluding maize ethanol (forest residues as process fuel in CHP plant (*))</t>
  </si>
  <si>
    <t>e-LNG - Diesel (dual fuels)</t>
  </si>
  <si>
    <t xml:space="preserve">sugar cane ethanol </t>
  </si>
  <si>
    <t>e-LNG - LBSI</t>
  </si>
  <si>
    <t xml:space="preserve">wheat straw ethanol </t>
  </si>
  <si>
    <t>e-H2 - Fuel Cells</t>
  </si>
  <si>
    <t>e-H2 - ICE</t>
  </si>
  <si>
    <t>e-NH3 - Fuel Cells</t>
  </si>
  <si>
    <t>e-NH3 - ICE</t>
  </si>
  <si>
    <t>e-LPG</t>
  </si>
  <si>
    <t>e-DME</t>
  </si>
  <si>
    <t>Others</t>
  </si>
  <si>
    <t>Electricity</t>
  </si>
  <si>
    <t>EU ENERGY MIX</t>
  </si>
  <si>
    <t>On-shore power supply (OPS)</t>
  </si>
  <si>
    <t>LPG - Butane</t>
  </si>
  <si>
    <t>LPG - Propane</t>
  </si>
  <si>
    <t>Values LCV [ MJ/kg ]</t>
  </si>
  <si>
    <t>Bio-methanol</t>
  </si>
  <si>
    <t xml:space="preserve">FAME   </t>
  </si>
  <si>
    <t>37*</t>
  </si>
  <si>
    <t>44 *</t>
  </si>
  <si>
    <t>30*</t>
  </si>
  <si>
    <t xml:space="preserve">waste wood methanol in free-standing plant </t>
  </si>
  <si>
    <t xml:space="preserve">pure vegetable oil from rape seed </t>
  </si>
  <si>
    <t>37 *</t>
  </si>
  <si>
    <t xml:space="preserve">farmed wood methanol in free-standing plant </t>
  </si>
  <si>
    <t>pure vegetable oil from sunflower</t>
  </si>
  <si>
    <t xml:space="preserve">Methanol from black-liquor gasification integrated with pulp mill </t>
  </si>
  <si>
    <t xml:space="preserve">pure vegetable oil from soybean </t>
  </si>
  <si>
    <t>pure vegetable oil from palm oil (open effluent pond)</t>
  </si>
  <si>
    <t xml:space="preserve">pure vegetable oil from palm oil (process with methane 
capture at oil mill) </t>
  </si>
  <si>
    <t xml:space="preserve">pure oil from waste cooking oil </t>
  </si>
  <si>
    <t>waste wood dimethylether (DME) in free-standing plant</t>
  </si>
  <si>
    <t>28 **</t>
  </si>
  <si>
    <t>Pure Vegetable  Oil -
Other Production Pathways of Directive (EU) 2018/2001</t>
  </si>
  <si>
    <t>44**</t>
  </si>
  <si>
    <t xml:space="preserve">farmed wood dimethylether (DME) in free-standing plant </t>
  </si>
  <si>
    <t>DME (dimethylether) -
Other Production Pathways of Directive (EU) 2018/2001</t>
  </si>
  <si>
    <t>* Hydrotreated fuel type</t>
  </si>
  <si>
    <t xml:space="preserve">dimethylether (DME) from black-liquor gasification inte_x0002_grated with pulp mill </t>
  </si>
  <si>
    <t>fischer-Tropsch diesel from black-liquor gasification integrated with pulp mill</t>
  </si>
  <si>
    <t>Renewable Fuels of Non- Biological Origin (RFNBO)
-
e-Fuels</t>
  </si>
  <si>
    <t>* taken as FAME</t>
  </si>
  <si>
    <t xml:space="preserve">** based on the process Fischer-Tropsch diesel </t>
  </si>
  <si>
    <t>* taken as Pure Oil</t>
  </si>
  <si>
    <t>** DME is the source</t>
  </si>
  <si>
    <t>FuelEU Maritime - Penalty Calculator</t>
  </si>
  <si>
    <t>Sailing Consumption</t>
  </si>
  <si>
    <t>Port Consumption</t>
  </si>
  <si>
    <t>Total Consumption</t>
  </si>
  <si>
    <t>Co2 cf</t>
  </si>
  <si>
    <t>TtW CO2eq</t>
  </si>
  <si>
    <t>WtT CO2eq</t>
  </si>
  <si>
    <t>Cslip</t>
  </si>
  <si>
    <t>Co2eq TtWSlip</t>
  </si>
  <si>
    <t>Not considered in formula yet</t>
  </si>
  <si>
    <t>fwind</t>
  </si>
  <si>
    <t>GHG Actual</t>
  </si>
  <si>
    <t>Baseline</t>
  </si>
  <si>
    <t>Target 2025</t>
  </si>
  <si>
    <t>EU ETS calculation</t>
  </si>
  <si>
    <t>icon links</t>
  </si>
  <si>
    <t>1. Fuel selection</t>
  </si>
  <si>
    <t>https://encrypted-tbn0.gstatic.com/images?q=tbn:ANd9GcTLDHpRcaduLw3RthgYM6MK0qizLaa6UrIwHQ&amp;s</t>
  </si>
  <si>
    <t>Fwind</t>
  </si>
  <si>
    <t>RF_NBO</t>
  </si>
  <si>
    <t>RF_NBO (named as RWD in formulas)</t>
  </si>
  <si>
    <t>EUA Rate (EUR/MT)</t>
  </si>
  <si>
    <t>Co2 Elect (for future scope)</t>
  </si>
  <si>
    <t>1.       GHG target calculation</t>
  </si>
  <si>
    <t>Default reference value: 91.16 gCO2eq/ MJ</t>
  </si>
  <si>
    <t>2% from 01 Jan 2025 (89.337 gCO2eq/ MJ)</t>
  </si>
  <si>
    <t>6% from 01 Jan 2030 (85.690 gCO2eq/ MJ)</t>
  </si>
  <si>
    <t>14.5% from 01 Jan 2035 (77.942 gCO2eq/ MJ)</t>
  </si>
  <si>
    <t>31% from 01 Jan 2040 (62.900 gCO2eq/ MJ)</t>
  </si>
  <si>
    <t>62% from 01 Jan 2045 (34.641 gCO2eq/ MJ)</t>
  </si>
  <si>
    <t>80% from 01 Jan 2050 (18.232 gCO2eq/ MJ)</t>
  </si>
  <si>
    <r>
      <t>Compliance Balance (MTCO</t>
    </r>
    <r>
      <rPr>
        <vertAlign val="subscript"/>
        <sz val="11"/>
        <color theme="1"/>
        <rFont val="Calibri"/>
        <family val="2"/>
        <scheme val="minor"/>
      </rPr>
      <t>2eq</t>
    </r>
    <r>
      <rPr>
        <sz val="11"/>
        <color theme="1"/>
        <rFont val="Calibri"/>
        <family val="2"/>
        <scheme val="minor"/>
      </rPr>
      <t>)</t>
    </r>
  </si>
  <si>
    <t>FuelEU Penalty</t>
  </si>
  <si>
    <t>Total fuel cost</t>
  </si>
  <si>
    <t>Bunker Cost (US$)</t>
  </si>
  <si>
    <t>EU ETS Exposure</t>
  </si>
  <si>
    <t>Total exposure</t>
  </si>
  <si>
    <t>Sailing CO2 Emission</t>
  </si>
  <si>
    <t>Port CO2 Emission</t>
  </si>
  <si>
    <t>EU Applicable CO2 Emission</t>
  </si>
  <si>
    <t>EUR to USD Fx Rate</t>
  </si>
  <si>
    <t>https://st.depositphotos.com/17828278/59377/v/450/depositphotos_593772798-stock-illustration-cost-symbol-dollar-increase-icon.jpg</t>
  </si>
  <si>
    <t>2. $ sign</t>
  </si>
  <si>
    <t>Cargo Quantity (MT)</t>
  </si>
  <si>
    <t>Exposure / MT Cargo</t>
  </si>
  <si>
    <t>Download</t>
  </si>
  <si>
    <t>FuelEU Penalty/Surplus</t>
  </si>
  <si>
    <t>FuelEU Surplus</t>
  </si>
  <si>
    <t>Sailing Consumption (MT)</t>
  </si>
  <si>
    <t>Port Consumption (MT)</t>
  </si>
  <si>
    <t>Total Consumption (MT)</t>
  </si>
  <si>
    <t>CO2 Cf (eq/MT fuel)</t>
  </si>
  <si>
    <t>Reference line would be a reduction from default reference as per below:</t>
  </si>
  <si>
    <t>Compliance Balance (MTCO2eq)</t>
  </si>
  <si>
    <t>Compliance Balance (gCO2eq)</t>
  </si>
  <si>
    <t>2025           v</t>
  </si>
  <si>
    <t>Year</t>
  </si>
  <si>
    <t xml:space="preserve">Goals / Objectives </t>
  </si>
  <si>
    <t xml:space="preserve">Inputs needed </t>
  </si>
  <si>
    <t xml:space="preserve">Freight Pricing Tool </t>
  </si>
  <si>
    <t xml:space="preserve">Freight </t>
  </si>
  <si>
    <t>a</t>
  </si>
  <si>
    <t xml:space="preserve">Demurrage </t>
  </si>
  <si>
    <t>b</t>
  </si>
  <si>
    <t>c</t>
  </si>
  <si>
    <t>Can we extrapolate it to Annual basis ?</t>
  </si>
  <si>
    <t xml:space="preserve">WASP </t>
  </si>
  <si>
    <t xml:space="preserve">Fuel in MT required to avoid penalty. </t>
  </si>
  <si>
    <t xml:space="preserve">Single Fuel </t>
  </si>
  <si>
    <t xml:space="preserve">Multi Fuel </t>
  </si>
  <si>
    <t>Year 2025</t>
  </si>
  <si>
    <t>EU ETS Cals</t>
  </si>
  <si>
    <t>Fuel EU Cals</t>
  </si>
  <si>
    <t xml:space="preserve">Net TCE basis  Revenue and Expenses ( including FEM + ETS ) </t>
  </si>
  <si>
    <t xml:space="preserve">Metrics - Penalty / Freight , Penalty / Revenues, </t>
  </si>
  <si>
    <t>Total Emission Exposure / Revenues // Exposure / MT Cargo</t>
  </si>
  <si>
    <t xml:space="preserve">Speed sensitivitty  ( how change in speed affects exposures ) </t>
  </si>
  <si>
    <t xml:space="preserve">Bunker Price sensitivity ( how change in bunker price affects exposures ) </t>
  </si>
  <si>
    <t xml:space="preserve">Wind calculation ( How can we get a basis Wind calculation as an option for Owners. Detailed cals will be subject to Advisory later ) </t>
  </si>
  <si>
    <t xml:space="preserve">EUA rate in Euros to be entered for every 5 years to make it relevant ( currently default 2025 rate is used for all costs projections ) </t>
  </si>
  <si>
    <t>EUA rate avg increase</t>
  </si>
  <si>
    <t>Total Exposure</t>
  </si>
  <si>
    <t xml:space="preserve">or we make it standard 25% increase every 5 years ( can recheck basis industry projections ) </t>
  </si>
  <si>
    <t>Total Fuel costs</t>
  </si>
  <si>
    <t xml:space="preserve">ESD Tech Voy Costs </t>
  </si>
  <si>
    <t>Net Profit</t>
  </si>
  <si>
    <t>Total income</t>
  </si>
  <si>
    <t>User Input</t>
  </si>
  <si>
    <t>Cargo Quantity</t>
  </si>
  <si>
    <t>Earnings</t>
  </si>
  <si>
    <t>Demurrage</t>
  </si>
  <si>
    <t>HRA Premium</t>
  </si>
  <si>
    <t>Port cost</t>
  </si>
  <si>
    <t>Canal Transit rate</t>
  </si>
  <si>
    <t>Total Bunker cost</t>
  </si>
  <si>
    <t>To be picked from FEM Estimator</t>
  </si>
  <si>
    <t>Total consumtpion LNG</t>
  </si>
  <si>
    <t>Total consumtpion Biofuel</t>
  </si>
  <si>
    <t>Total consumtpion MGO</t>
  </si>
  <si>
    <t>Total consumtpion VLFO</t>
  </si>
  <si>
    <t>Total consumtpion HFO</t>
  </si>
  <si>
    <t>Expenses</t>
  </si>
  <si>
    <t>To be picked from External source?</t>
  </si>
  <si>
    <t>Distance</t>
  </si>
  <si>
    <t>Rotterdam</t>
  </si>
  <si>
    <t>From drop down option</t>
  </si>
  <si>
    <t>Malta</t>
  </si>
  <si>
    <t>Intermedite Port</t>
  </si>
  <si>
    <t>Singapore</t>
  </si>
  <si>
    <t>Voyage Type</t>
  </si>
  <si>
    <t>Voyage CP</t>
  </si>
  <si>
    <t>Time CP</t>
  </si>
  <si>
    <t>Drop down option</t>
  </si>
  <si>
    <t>If Voyage CP selected</t>
  </si>
  <si>
    <t>If Time CP selected</t>
  </si>
  <si>
    <t>Total Expenses</t>
  </si>
  <si>
    <t>Total expense</t>
  </si>
  <si>
    <t>TC rate</t>
  </si>
  <si>
    <t>Speed</t>
  </si>
  <si>
    <t>Days</t>
  </si>
  <si>
    <t>User Inpur</t>
  </si>
  <si>
    <t>Calculated</t>
  </si>
  <si>
    <t>Total Hire cost</t>
  </si>
  <si>
    <t>Total earning</t>
  </si>
  <si>
    <t>Emissions EU ETS expenses</t>
  </si>
  <si>
    <t xml:space="preserve">Emissions Fuel EU expenses </t>
  </si>
  <si>
    <t xml:space="preserve">To be picked from FEM Estimator ( or calculate ) </t>
  </si>
  <si>
    <t xml:space="preserve">Demurrage ( remove as Dem is earning ) </t>
  </si>
  <si>
    <t>Voyage details</t>
  </si>
  <si>
    <t xml:space="preserve">Typical VoyagePnL </t>
  </si>
  <si>
    <t xml:space="preserve">Calculated </t>
  </si>
  <si>
    <t xml:space="preserve">Misc </t>
  </si>
  <si>
    <t xml:space="preserve">User Input </t>
  </si>
  <si>
    <t>Emission exposure / MT cargo</t>
  </si>
  <si>
    <t xml:space="preserve">Emission exposure / TCE </t>
  </si>
  <si>
    <t>Fuel EU Penalty / MT cargo</t>
  </si>
  <si>
    <t xml:space="preserve">Fuel EU penalty / TCE </t>
  </si>
  <si>
    <t xml:space="preserve">Results ( calculated ) </t>
  </si>
  <si>
    <t>Optimization measures effect on Penalty - Every 5% change?</t>
  </si>
  <si>
    <t>Bunker price ( sensitivitty ) - For every 10% price change ?</t>
  </si>
  <si>
    <t xml:space="preserve">Voyage Days </t>
  </si>
  <si>
    <t xml:space="preserve">Off hrie days </t>
  </si>
  <si>
    <t xml:space="preserve">Total days </t>
  </si>
  <si>
    <t>Speed (L/ B) Kts / hr</t>
  </si>
  <si>
    <t xml:space="preserve">Net Freight rate ( $ /MT ) </t>
  </si>
  <si>
    <t>Canal Transit rate ( we can remove to reduce inputs )</t>
  </si>
  <si>
    <t xml:space="preserve">HRA Premium / ( make this misc costs like Canal / AWRP etc.. ) </t>
  </si>
  <si>
    <t xml:space="preserve">Freight ( $) </t>
  </si>
  <si>
    <t>Avg Port Consumptions ( Load / Disch )</t>
  </si>
  <si>
    <t>Avg Consumption (L/B) ( MT/hr)</t>
  </si>
  <si>
    <t xml:space="preserve">User Input ( Can we make this feed into FEM Calculator ? ) </t>
  </si>
  <si>
    <t>Speed sensitivity ( Shoud we include this - will affect consumptions / voyage days ) ??</t>
  </si>
  <si>
    <t xml:space="preserve">Fuel Selector ( Type of fuel ) ? </t>
  </si>
  <si>
    <t xml:space="preserve">Weather Factor ( Delay estimated in % ) </t>
  </si>
  <si>
    <t xml:space="preserve">Can we calculate bunker qty needed ( of Biofuel or RFNBO ) to make penalty NIL ? </t>
  </si>
  <si>
    <t>TCE</t>
  </si>
  <si>
    <r>
      <t xml:space="preserve">To be picked from External source? - </t>
    </r>
    <r>
      <rPr>
        <sz val="11"/>
        <color rgb="FFFF0000"/>
        <rFont val="Calibri"/>
        <family val="2"/>
        <scheme val="minor"/>
      </rPr>
      <t>Veson Distance API input</t>
    </r>
    <r>
      <rPr>
        <sz val="11"/>
        <color theme="1"/>
        <rFont val="Calibri"/>
        <family val="2"/>
        <scheme val="minor"/>
      </rPr>
      <t xml:space="preserve"> </t>
    </r>
  </si>
  <si>
    <t>BLEND %</t>
  </si>
  <si>
    <t>BLEND DETAILS</t>
  </si>
  <si>
    <t>N/A</t>
  </si>
  <si>
    <t>Co2 cf for EUETS Cal. for 2025</t>
  </si>
  <si>
    <t>Co2 cf for EUETS Cal. for 2026</t>
  </si>
  <si>
    <t>Value "0.7" is basis year 2025 only</t>
  </si>
  <si>
    <t>Value of E (default value)</t>
  </si>
  <si>
    <t>Value of E</t>
  </si>
  <si>
    <t>Value of E for Biofuel</t>
  </si>
  <si>
    <t>Base Fuel for Blend</t>
  </si>
  <si>
    <t>USER INPUT / DEFAULT VALUE whenever the fuel grade changes</t>
  </si>
  <si>
    <t>LCV (MJ/g)</t>
  </si>
  <si>
    <t>LCV</t>
  </si>
  <si>
    <t>Fuel to be used for calculation</t>
  </si>
  <si>
    <t>Sailing Consumption applicable for EUETS</t>
  </si>
  <si>
    <t>Port Consumption applicable for EUETS</t>
  </si>
  <si>
    <t>YEAR</t>
  </si>
  <si>
    <t>Compliance Balance</t>
  </si>
  <si>
    <t>Year penalty</t>
  </si>
  <si>
    <t>Penalty in $</t>
  </si>
  <si>
    <t>Energy = Mass x LCV</t>
  </si>
  <si>
    <t>GWP</t>
  </si>
  <si>
    <t>FUEL EU</t>
  </si>
  <si>
    <t>EU ETS</t>
  </si>
  <si>
    <t>N2O</t>
  </si>
  <si>
    <t>Value "1.0" is basis from year 2026 onwards</t>
  </si>
  <si>
    <t>CH4</t>
  </si>
  <si>
    <t>Depending the blend % the qty</t>
  </si>
  <si>
    <t>BLEND BREAKUP - FUEL - Sailing Cons</t>
  </si>
  <si>
    <t>LCV - Sailing Cons</t>
  </si>
  <si>
    <t>Energy - Sailing Cons</t>
  </si>
  <si>
    <t>Total Energy - Sailing Cons</t>
  </si>
  <si>
    <t>Energy Applicable for the voy - Sailing Cons</t>
  </si>
  <si>
    <t>Energy to be used for calculation - Sailing Cons</t>
  </si>
  <si>
    <t>BLEND BREAKUP - FUEL - Port Cons</t>
  </si>
  <si>
    <t>LCV - Port Cons</t>
  </si>
  <si>
    <t>Energy - Port Cons</t>
  </si>
  <si>
    <t>Total Energy - Port Cons</t>
  </si>
  <si>
    <t>Energy Applicable for the voy - Port Cons</t>
  </si>
  <si>
    <t>Energy to be used for calculation - Port Cons</t>
  </si>
  <si>
    <t xml:space="preserve">Type: </t>
  </si>
  <si>
    <t>Blend %</t>
  </si>
  <si>
    <t>Base Fuel</t>
  </si>
  <si>
    <t>Req Qty</t>
  </si>
  <si>
    <t>"Port Cons" x "EU Applicability - Passage" x "Percentage of the Base fuel if biofuel is selected"</t>
  </si>
  <si>
    <t>"Sailing Cons" x "EU Applicability - Passage" x "Percentage of the Base fuel if biofuel is selected"</t>
  </si>
  <si>
    <t>Mass of Fuel = Energy(sailing + port) / LCV</t>
  </si>
  <si>
    <t xml:space="preserve">If biofuel selected then it will take the Base Fuel Co2 CF </t>
  </si>
  <si>
    <t>Target as requested</t>
  </si>
  <si>
    <t>Total Energy for Sailing Cons x EU Applicability - Passage</t>
  </si>
  <si>
    <t>Total Energy for Port Cons x EU Applicability - Passage</t>
  </si>
  <si>
    <t>Co2 cF + (CH4 cF x 25) + (N2O cF x 298)</t>
  </si>
  <si>
    <t>EUA exposure</t>
  </si>
  <si>
    <t>Compl Balance</t>
  </si>
  <si>
    <t xml:space="preserve">Compliance Bal. Value to be adjusted </t>
  </si>
  <si>
    <t>Referance range is changed.</t>
  </si>
  <si>
    <t>Target GHG</t>
  </si>
  <si>
    <t>Actual GHG Intensity (gCO2eq/MJ)</t>
  </si>
  <si>
    <t>GHG Intensity (gCO2eq/MJ)</t>
  </si>
  <si>
    <t xml:space="preserve"> </t>
  </si>
  <si>
    <t>----------&gt;</t>
  </si>
  <si>
    <t>Savings</t>
  </si>
  <si>
    <t>WtT (if the fuel selected is Biofuel or RFNBO) = Value of E - (Co2 cf / LCV (MJ/g)) / If Fossil Fuel is selected WtT = Fuel Factors tables value will be picked</t>
  </si>
  <si>
    <t>main fuel</t>
  </si>
  <si>
    <t>Sailing consumption - (Savings % of the sailing consumption from Penalty Calculator)</t>
  </si>
  <si>
    <t>HFO</t>
  </si>
  <si>
    <t xml:space="preserve">Additional Fuel Cost (US$) </t>
  </si>
  <si>
    <t xml:space="preserve">Additional EU ETS Exposure (US$) </t>
  </si>
  <si>
    <t>Savings %</t>
  </si>
  <si>
    <t>GOAL SEEKING</t>
  </si>
  <si>
    <t>Target Balance</t>
  </si>
  <si>
    <t>Additional compensation for Goal Seek</t>
  </si>
  <si>
    <t>Cons for Comparison</t>
  </si>
  <si>
    <t>Additional Compensation with Biofuel for the present year within EU resulting in FuelEU Penalty to be "0"</t>
  </si>
  <si>
    <t>Total Exposure with Zero FuelEU Penalty (US$)</t>
  </si>
  <si>
    <t xml:space="preserve">Total Exposure (US$) </t>
  </si>
  <si>
    <t>Savings (US$)</t>
  </si>
  <si>
    <t>Compensation Comparsion</t>
  </si>
  <si>
    <t>Year 2026 onwards</t>
  </si>
  <si>
    <t xml:space="preserve">Additional compensation for Goal Seek </t>
  </si>
  <si>
    <t>Type 1</t>
  </si>
  <si>
    <t>Type 2</t>
  </si>
  <si>
    <t>Type 3</t>
  </si>
  <si>
    <t>Type 4</t>
  </si>
  <si>
    <t>Sailing cons</t>
  </si>
  <si>
    <t>Port cons</t>
  </si>
  <si>
    <t>Fuel type</t>
  </si>
  <si>
    <t>Initial Costing</t>
  </si>
  <si>
    <t>Main</t>
  </si>
  <si>
    <t>Base</t>
  </si>
  <si>
    <t>Replacement</t>
  </si>
  <si>
    <t>new sailing cons</t>
  </si>
  <si>
    <t>REPLACEMENT</t>
  </si>
  <si>
    <t>LFO</t>
  </si>
  <si>
    <t>Total Energy</t>
  </si>
  <si>
    <t>set to 1 by default for replacment fuel only</t>
  </si>
  <si>
    <t>new port cons</t>
  </si>
  <si>
    <t>Savings on Fuel Cons</t>
  </si>
  <si>
    <t>Sub RunGoalSeek1()</t>
  </si>
  <si>
    <t xml:space="preserve">    Dim targetCell As Range</t>
  </si>
  <si>
    <t xml:space="preserve">    Dim changingCell As Range</t>
  </si>
  <si>
    <t xml:space="preserve">    Dim targetValue As Double</t>
  </si>
  <si>
    <t xml:space="preserve">    </t>
  </si>
  <si>
    <t xml:space="preserve">    Set targetCell = Range("W60")</t>
  </si>
  <si>
    <t xml:space="preserve">    Set changingCell = Range("W5")</t>
  </si>
  <si>
    <t xml:space="preserve">    targetValue = 0</t>
  </si>
  <si>
    <t xml:space="preserve">    targetCell.GoalSeek Goal:=targetValue, changingCell:=changingCell</t>
  </si>
  <si>
    <t>End Sub</t>
  </si>
  <si>
    <t>Bio-fuel qty - sailing</t>
  </si>
  <si>
    <t>Bio-fuel qty - port</t>
  </si>
  <si>
    <t>Sailing cons with savings</t>
  </si>
  <si>
    <t>% of Cons qty replaced</t>
  </si>
  <si>
    <t>MGO/MDO</t>
  </si>
  <si>
    <t>Fuel Type</t>
  </si>
  <si>
    <t>WtW GHG intensity
(gCo2eq/MJ)</t>
  </si>
  <si>
    <t>Price 26.06.24 (USD/MT)</t>
  </si>
  <si>
    <t>Corr factor for Perf drop</t>
  </si>
  <si>
    <t>Cf (gCo2eq/gFuel)</t>
  </si>
  <si>
    <t>Target WtW GHG Int</t>
  </si>
  <si>
    <t>HSFO</t>
  </si>
  <si>
    <t>VLSFO</t>
  </si>
  <si>
    <t>ULSFO</t>
  </si>
  <si>
    <t>LSMGO</t>
  </si>
  <si>
    <t>FAME</t>
  </si>
  <si>
    <t>B10 HSFO</t>
  </si>
  <si>
    <t>B20 HSFO</t>
  </si>
  <si>
    <t>B30 HSFO</t>
  </si>
  <si>
    <t>B10 VLSFO</t>
  </si>
  <si>
    <t>B20 VLSFO</t>
  </si>
  <si>
    <t>B30 VLSFO</t>
  </si>
  <si>
    <t>B10 ULSFO</t>
  </si>
  <si>
    <t>B20 ULSFO</t>
  </si>
  <si>
    <t>B30 ULSFO</t>
  </si>
  <si>
    <t>B10 LSMGO</t>
  </si>
  <si>
    <t>B20 LSMGO</t>
  </si>
  <si>
    <t>B30 LSMGO</t>
  </si>
  <si>
    <t>EUA</t>
  </si>
  <si>
    <t>EUA Price</t>
  </si>
  <si>
    <t>% Increase in Euro</t>
  </si>
  <si>
    <t>EUA Exposure</t>
  </si>
  <si>
    <t>EUA Rate</t>
  </si>
  <si>
    <t>The GHG Intensity of the compensated fuel is more than Target GHG Intensity for the Selected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</si>
</sst>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  <numFmt numFmtId="167" formatCode="0.0000"/>
    <numFmt numFmtId="168" formatCode="0.000"/>
    <numFmt numFmtId="169" formatCode="0.00000"/>
    <numFmt numFmtId="170" formatCode="_([$€-2]\ * #,##0.00_);_([$€-2]\ * \(#,##0.00\);_([$€-2]\ * &quot;-&quot;??_);_(@_)"/>
    <numFmt numFmtId="171" formatCode="_([$€-2]\ * #,##0_);_([$€-2]\ * \(#,##0\);_([$€-2]\ * &quot;-&quot;??_);_(@_)"/>
    <numFmt numFmtId="172" formatCode="_-[$$-409]* #,##0_ ;_-[$$-409]* \-#,##0\ ;_-[$$-409]* &quot;-&quot;??_ ;_-@_ "/>
    <numFmt numFmtId="173" formatCode="_-[$$-409]* #,##0.00_ ;_-[$$-409]* \-#,##0.00\ ;_-[$$-409]* &quot;-&quot;??_ ;_-@_ "/>
    <numFmt numFmtId="174" formatCode="_ [$€-2]\ * #,##0.00_ ;_ [$€-2]\ * \-#,##0.00_ ;_ [$€-2]\ * &quot;-&quot;??_ ;_ @_ "/>
    <numFmt numFmtId="175" formatCode="0.000000"/>
    <numFmt numFmtId="176" formatCode="0.0%"/>
    <numFmt numFmtId="177" formatCode="[$$-409]#,##0"/>
    <numFmt numFmtId="178" formatCode="0.000000000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mbria"/>
      <family val="1"/>
    </font>
    <font>
      <sz val="12"/>
      <color rgb="FF000000"/>
      <name val="Cambria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30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center" wrapText="1"/>
    </xf>
    <xf numFmtId="167" fontId="6" fillId="0" borderId="34" xfId="0" applyNumberFormat="1" applyFont="1" applyBorder="1" applyAlignment="1">
      <alignment horizontal="center" vertical="center" shrinkToFit="1"/>
    </xf>
    <xf numFmtId="166" fontId="6" fillId="0" borderId="34" xfId="0" applyNumberFormat="1" applyFont="1" applyBorder="1" applyAlignment="1">
      <alignment horizontal="center" vertical="center" shrinkToFit="1"/>
    </xf>
    <xf numFmtId="0" fontId="5" fillId="0" borderId="34" xfId="0" applyFont="1" applyBorder="1" applyAlignment="1">
      <alignment horizontal="center" vertical="center" wrapText="1"/>
    </xf>
    <xf numFmtId="168" fontId="6" fillId="0" borderId="34" xfId="0" applyNumberFormat="1" applyFont="1" applyBorder="1" applyAlignment="1">
      <alignment horizontal="center" vertical="center" shrinkToFit="1"/>
    </xf>
    <xf numFmtId="169" fontId="6" fillId="0" borderId="34" xfId="0" applyNumberFormat="1" applyFont="1" applyBorder="1" applyAlignment="1">
      <alignment horizontal="center" vertical="center" shrinkToFit="1"/>
    </xf>
    <xf numFmtId="168" fontId="6" fillId="0" borderId="36" xfId="0" applyNumberFormat="1" applyFont="1" applyBorder="1" applyAlignment="1">
      <alignment horizontal="center" vertical="center" shrinkToFit="1"/>
    </xf>
    <xf numFmtId="166" fontId="6" fillId="0" borderId="36" xfId="0" applyNumberFormat="1" applyFont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169" fontId="6" fillId="0" borderId="36" xfId="0" applyNumberFormat="1" applyFont="1" applyBorder="1" applyAlignment="1">
      <alignment horizontal="center" vertical="center" shrinkToFit="1"/>
    </xf>
    <xf numFmtId="167" fontId="6" fillId="0" borderId="14" xfId="0" applyNumberFormat="1" applyFont="1" applyBorder="1" applyAlignment="1">
      <alignment horizontal="center" vertical="center" shrinkToFit="1"/>
    </xf>
    <xf numFmtId="166" fontId="6" fillId="0" borderId="14" xfId="0" applyNumberFormat="1" applyFont="1" applyBorder="1" applyAlignment="1">
      <alignment horizontal="center" vertical="center" shrinkToFit="1"/>
    </xf>
    <xf numFmtId="0" fontId="5" fillId="0" borderId="14" xfId="0" applyFont="1" applyBorder="1" applyAlignment="1">
      <alignment horizontal="center" vertical="center" wrapText="1"/>
    </xf>
    <xf numFmtId="168" fontId="6" fillId="0" borderId="14" xfId="0" applyNumberFormat="1" applyFont="1" applyBorder="1" applyAlignment="1">
      <alignment horizontal="center" vertical="center" shrinkToFit="1"/>
    </xf>
    <xf numFmtId="169" fontId="6" fillId="0" borderId="14" xfId="0" applyNumberFormat="1" applyFont="1" applyBorder="1" applyAlignment="1">
      <alignment horizontal="center" vertical="center" shrinkToFit="1"/>
    </xf>
    <xf numFmtId="0" fontId="5" fillId="0" borderId="15" xfId="0" applyFont="1" applyBorder="1" applyAlignment="1">
      <alignment horizontal="center" vertical="center" wrapText="1"/>
    </xf>
    <xf numFmtId="1" fontId="6" fillId="0" borderId="14" xfId="0" applyNumberFormat="1" applyFont="1" applyBorder="1" applyAlignment="1">
      <alignment horizontal="center" vertical="center" shrinkToFit="1"/>
    </xf>
    <xf numFmtId="166" fontId="6" fillId="0" borderId="15" xfId="0" applyNumberFormat="1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2" fontId="6" fillId="0" borderId="14" xfId="0" applyNumberFormat="1" applyFont="1" applyBorder="1" applyAlignment="1">
      <alignment horizontal="center" vertical="center" shrinkToFit="1"/>
    </xf>
    <xf numFmtId="1" fontId="6" fillId="0" borderId="39" xfId="0" applyNumberFormat="1" applyFont="1" applyBorder="1" applyAlignment="1">
      <alignment horizontal="center" vertical="center" shrinkToFit="1"/>
    </xf>
    <xf numFmtId="167" fontId="6" fillId="0" borderId="36" xfId="0" applyNumberFormat="1" applyFont="1" applyBorder="1" applyAlignment="1">
      <alignment horizontal="center" vertical="center" shrinkToFit="1"/>
    </xf>
    <xf numFmtId="1" fontId="6" fillId="0" borderId="36" xfId="0" applyNumberFormat="1" applyFont="1" applyBorder="1" applyAlignment="1">
      <alignment horizontal="center" vertical="center" shrinkToFit="1"/>
    </xf>
    <xf numFmtId="0" fontId="5" fillId="0" borderId="41" xfId="0" applyFont="1" applyBorder="1" applyAlignment="1">
      <alignment horizontal="center" vertical="center" wrapText="1"/>
    </xf>
    <xf numFmtId="167" fontId="6" fillId="0" borderId="43" xfId="0" applyNumberFormat="1" applyFont="1" applyBorder="1" applyAlignment="1">
      <alignment horizontal="center" vertical="center" shrinkToFit="1"/>
    </xf>
    <xf numFmtId="166" fontId="6" fillId="0" borderId="43" xfId="0" applyNumberFormat="1" applyFont="1" applyBorder="1" applyAlignment="1">
      <alignment horizontal="center" vertical="center" shrinkToFit="1"/>
    </xf>
    <xf numFmtId="0" fontId="5" fillId="0" borderId="44" xfId="0" applyFont="1" applyBorder="1" applyAlignment="1">
      <alignment horizontal="center" vertical="center" wrapText="1"/>
    </xf>
    <xf numFmtId="168" fontId="6" fillId="0" borderId="44" xfId="0" applyNumberFormat="1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168" fontId="6" fillId="0" borderId="11" xfId="0" applyNumberFormat="1" applyFont="1" applyBorder="1" applyAlignment="1">
      <alignment horizontal="center" vertical="center" shrinkToFit="1"/>
    </xf>
    <xf numFmtId="0" fontId="7" fillId="0" borderId="29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 wrapText="1"/>
    </xf>
    <xf numFmtId="0" fontId="0" fillId="0" borderId="29" xfId="0" applyBorder="1" applyAlignment="1">
      <alignment wrapText="1"/>
    </xf>
    <xf numFmtId="0" fontId="7" fillId="0" borderId="19" xfId="0" applyFont="1" applyBorder="1" applyAlignment="1">
      <alignment wrapText="1"/>
    </xf>
    <xf numFmtId="0" fontId="7" fillId="0" borderId="46" xfId="0" applyFont="1" applyBorder="1"/>
    <xf numFmtId="0" fontId="7" fillId="0" borderId="0" xfId="0" applyFont="1"/>
    <xf numFmtId="0" fontId="0" fillId="0" borderId="10" xfId="0" applyBorder="1" applyAlignment="1">
      <alignment wrapText="1"/>
    </xf>
    <xf numFmtId="0" fontId="0" fillId="0" borderId="11" xfId="0" applyBorder="1" applyAlignment="1">
      <alignment horizontal="center" vertical="center"/>
    </xf>
    <xf numFmtId="0" fontId="7" fillId="0" borderId="21" xfId="0" applyFont="1" applyBorder="1" applyAlignment="1">
      <alignment wrapText="1"/>
    </xf>
    <xf numFmtId="0" fontId="0" fillId="0" borderId="47" xfId="0" applyBorder="1"/>
    <xf numFmtId="0" fontId="7" fillId="0" borderId="47" xfId="0" applyFont="1" applyBorder="1"/>
    <xf numFmtId="0" fontId="0" fillId="0" borderId="13" xfId="0" applyBorder="1"/>
    <xf numFmtId="0" fontId="7" fillId="0" borderId="47" xfId="0" applyFont="1" applyBorder="1" applyAlignment="1">
      <alignment wrapText="1"/>
    </xf>
    <xf numFmtId="0" fontId="5" fillId="0" borderId="13" xfId="0" applyFont="1" applyBorder="1" applyAlignment="1">
      <alignment horizontal="center" wrapText="1"/>
    </xf>
    <xf numFmtId="0" fontId="7" fillId="0" borderId="48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1" fontId="6" fillId="0" borderId="17" xfId="0" applyNumberFormat="1" applyFont="1" applyBorder="1" applyAlignment="1">
      <alignment horizontal="center" vertical="center" shrinkToFit="1"/>
    </xf>
    <xf numFmtId="167" fontId="6" fillId="0" borderId="11" xfId="0" applyNumberFormat="1" applyFont="1" applyBorder="1" applyAlignment="1">
      <alignment horizontal="center" vertical="center" shrinkToFit="1"/>
    </xf>
    <xf numFmtId="169" fontId="6" fillId="0" borderId="11" xfId="0" applyNumberFormat="1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top" wrapText="1"/>
    </xf>
    <xf numFmtId="0" fontId="7" fillId="0" borderId="25" xfId="0" applyFont="1" applyBorder="1" applyAlignment="1">
      <alignment wrapText="1"/>
    </xf>
    <xf numFmtId="0" fontId="0" fillId="0" borderId="48" xfId="0" applyBorder="1"/>
    <xf numFmtId="0" fontId="7" fillId="0" borderId="14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center" vertical="center" shrinkToFit="1"/>
    </xf>
    <xf numFmtId="1" fontId="6" fillId="0" borderId="20" xfId="0" applyNumberFormat="1" applyFont="1" applyBorder="1" applyAlignment="1">
      <alignment horizontal="center" vertical="center" shrinkToFit="1"/>
    </xf>
    <xf numFmtId="1" fontId="6" fillId="0" borderId="49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29" xfId="0" applyBorder="1" applyAlignment="1">
      <alignment horizontal="left" vertical="center" wrapText="1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4" xfId="0" applyBorder="1" applyAlignment="1">
      <alignment wrapText="1"/>
    </xf>
    <xf numFmtId="0" fontId="9" fillId="0" borderId="47" xfId="0" applyFont="1" applyBorder="1"/>
    <xf numFmtId="0" fontId="0" fillId="0" borderId="48" xfId="0" applyBorder="1" applyAlignment="1">
      <alignment horizontal="center"/>
    </xf>
    <xf numFmtId="0" fontId="0" fillId="0" borderId="0" xfId="0" applyAlignment="1">
      <alignment horizontal="left" vertical="center"/>
    </xf>
    <xf numFmtId="0" fontId="10" fillId="0" borderId="0" xfId="0" applyFont="1"/>
    <xf numFmtId="0" fontId="0" fillId="0" borderId="0" xfId="0" applyAlignment="1">
      <alignment horizontal="center" wrapText="1"/>
    </xf>
    <xf numFmtId="0" fontId="0" fillId="4" borderId="0" xfId="0" applyFill="1"/>
    <xf numFmtId="168" fontId="0" fillId="0" borderId="0" xfId="0" applyNumberFormat="1"/>
    <xf numFmtId="1" fontId="0" fillId="0" borderId="0" xfId="0" applyNumberFormat="1"/>
    <xf numFmtId="166" fontId="0" fillId="0" borderId="0" xfId="0" applyNumberFormat="1"/>
    <xf numFmtId="170" fontId="0" fillId="0" borderId="0" xfId="0" applyNumberFormat="1"/>
    <xf numFmtId="171" fontId="0" fillId="0" borderId="0" xfId="3" applyNumberFormat="1" applyFont="1"/>
    <xf numFmtId="170" fontId="0" fillId="0" borderId="0" xfId="4" applyNumberFormat="1" applyFont="1" applyAlignment="1">
      <alignment horizontal="center"/>
    </xf>
    <xf numFmtId="0" fontId="12" fillId="0" borderId="0" xfId="0" applyFont="1" applyAlignment="1">
      <alignment horizontal="center"/>
    </xf>
    <xf numFmtId="2" fontId="0" fillId="6" borderId="0" xfId="0" applyNumberFormat="1" applyFill="1"/>
    <xf numFmtId="0" fontId="4" fillId="0" borderId="3" xfId="0" applyFont="1" applyBorder="1"/>
    <xf numFmtId="0" fontId="4" fillId="0" borderId="4" xfId="0" applyFont="1" applyBorder="1"/>
    <xf numFmtId="2" fontId="0" fillId="0" borderId="0" xfId="0" applyNumberFormat="1"/>
    <xf numFmtId="2" fontId="2" fillId="0" borderId="0" xfId="0" applyNumberFormat="1" applyFont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72" fontId="14" fillId="0" borderId="0" xfId="0" applyNumberFormat="1" applyFont="1"/>
    <xf numFmtId="0" fontId="16" fillId="0" borderId="0" xfId="0" applyFont="1"/>
    <xf numFmtId="172" fontId="0" fillId="0" borderId="0" xfId="0" applyNumberFormat="1"/>
    <xf numFmtId="0" fontId="17" fillId="0" borderId="0" xfId="0" applyFont="1"/>
    <xf numFmtId="0" fontId="18" fillId="0" borderId="0" xfId="0" applyFont="1"/>
    <xf numFmtId="9" fontId="0" fillId="0" borderId="0" xfId="5" applyFont="1"/>
    <xf numFmtId="172" fontId="0" fillId="0" borderId="0" xfId="3" applyNumberFormat="1" applyFont="1"/>
    <xf numFmtId="9" fontId="0" fillId="2" borderId="1" xfId="0" applyNumberFormat="1" applyFill="1" applyBorder="1"/>
    <xf numFmtId="172" fontId="0" fillId="6" borderId="0" xfId="0" applyNumberFormat="1" applyFill="1"/>
    <xf numFmtId="173" fontId="0" fillId="6" borderId="0" xfId="0" applyNumberFormat="1" applyFill="1"/>
    <xf numFmtId="0" fontId="0" fillId="6" borderId="0" xfId="0" applyFill="1"/>
    <xf numFmtId="164" fontId="0" fillId="0" borderId="0" xfId="0" applyNumberFormat="1"/>
    <xf numFmtId="164" fontId="0" fillId="0" borderId="0" xfId="6" applyFont="1"/>
    <xf numFmtId="164" fontId="0" fillId="0" borderId="0" xfId="6" applyFont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0" fontId="0" fillId="10" borderId="0" xfId="0" applyFill="1"/>
    <xf numFmtId="0" fontId="0" fillId="11" borderId="0" xfId="0" applyFill="1"/>
    <xf numFmtId="164" fontId="0" fillId="11" borderId="0" xfId="6" applyFont="1" applyFill="1" applyAlignment="1">
      <alignment horizontal="center"/>
    </xf>
    <xf numFmtId="168" fontId="0" fillId="3" borderId="0" xfId="0" applyNumberFormat="1" applyFill="1"/>
    <xf numFmtId="0" fontId="0" fillId="3" borderId="0" xfId="0" applyFill="1"/>
    <xf numFmtId="164" fontId="0" fillId="3" borderId="0" xfId="6" applyFont="1" applyFill="1" applyAlignment="1">
      <alignment horizontal="center"/>
    </xf>
    <xf numFmtId="0" fontId="19" fillId="0" borderId="0" xfId="0" applyFont="1"/>
    <xf numFmtId="0" fontId="0" fillId="3" borderId="0" xfId="0" applyFill="1" applyAlignment="1">
      <alignment horizontal="left"/>
    </xf>
    <xf numFmtId="172" fontId="0" fillId="10" borderId="0" xfId="6" applyNumberFormat="1" applyFont="1" applyFill="1" applyAlignment="1">
      <alignment horizontal="center"/>
    </xf>
    <xf numFmtId="172" fontId="0" fillId="0" borderId="0" xfId="6" applyNumberFormat="1" applyFont="1"/>
    <xf numFmtId="0" fontId="11" fillId="5" borderId="50" xfId="0" applyFont="1" applyFill="1" applyBorder="1" applyAlignment="1">
      <alignment horizontal="center" vertical="center"/>
    </xf>
    <xf numFmtId="0" fontId="11" fillId="5" borderId="51" xfId="0" applyFont="1" applyFill="1" applyBorder="1" applyAlignment="1">
      <alignment horizontal="center" vertical="center"/>
    </xf>
    <xf numFmtId="0" fontId="11" fillId="5" borderId="52" xfId="0" applyFont="1" applyFill="1" applyBorder="1" applyAlignment="1">
      <alignment horizontal="center" vertical="center"/>
    </xf>
    <xf numFmtId="0" fontId="11" fillId="5" borderId="53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5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 vertical="center"/>
    </xf>
    <xf numFmtId="0" fontId="11" fillId="5" borderId="5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1" fillId="0" borderId="6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11" fillId="0" borderId="5" xfId="0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9" fontId="0" fillId="0" borderId="0" xfId="0" applyNumberFormat="1"/>
    <xf numFmtId="0" fontId="5" fillId="0" borderId="56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166" fontId="6" fillId="0" borderId="23" xfId="0" applyNumberFormat="1" applyFont="1" applyBorder="1" applyAlignment="1">
      <alignment horizontal="center" vertical="center" shrinkToFit="1"/>
    </xf>
    <xf numFmtId="0" fontId="5" fillId="0" borderId="58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5" fillId="0" borderId="59" xfId="0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2" fontId="5" fillId="4" borderId="46" xfId="0" applyNumberFormat="1" applyFont="1" applyFill="1" applyBorder="1" applyAlignment="1">
      <alignment horizontal="center" vertical="center" wrapText="1"/>
    </xf>
    <xf numFmtId="2" fontId="5" fillId="4" borderId="47" xfId="0" applyNumberFormat="1" applyFont="1" applyFill="1" applyBorder="1" applyAlignment="1">
      <alignment horizontal="center" vertical="center" wrapText="1"/>
    </xf>
    <xf numFmtId="2" fontId="0" fillId="4" borderId="47" xfId="0" applyNumberFormat="1" applyFill="1" applyBorder="1" applyAlignment="1">
      <alignment horizontal="center" vertical="center"/>
    </xf>
    <xf numFmtId="2" fontId="0" fillId="4" borderId="48" xfId="0" applyNumberForma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0" xfId="0" applyAlignment="1">
      <alignment vertical="top" wrapText="1"/>
    </xf>
    <xf numFmtId="169" fontId="0" fillId="0" borderId="5" xfId="0" applyNumberFormat="1" applyBorder="1" applyAlignment="1">
      <alignment horizontal="center"/>
    </xf>
    <xf numFmtId="2" fontId="5" fillId="0" borderId="14" xfId="0" applyNumberFormat="1" applyFont="1" applyBorder="1" applyAlignment="1">
      <alignment horizontal="center" vertical="center" wrapText="1"/>
    </xf>
    <xf numFmtId="2" fontId="5" fillId="4" borderId="14" xfId="0" applyNumberFormat="1" applyFont="1" applyFill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/>
    </xf>
    <xf numFmtId="2" fontId="11" fillId="0" borderId="5" xfId="0" applyNumberFormat="1" applyFont="1" applyBorder="1" applyAlignment="1">
      <alignment horizontal="center"/>
    </xf>
    <xf numFmtId="168" fontId="11" fillId="0" borderId="6" xfId="0" applyNumberFormat="1" applyFont="1" applyBorder="1" applyAlignment="1">
      <alignment horizontal="center"/>
    </xf>
    <xf numFmtId="2" fontId="11" fillId="0" borderId="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72" fontId="0" fillId="0" borderId="20" xfId="0" applyNumberFormat="1" applyBorder="1" applyAlignment="1">
      <alignment horizontal="center"/>
    </xf>
    <xf numFmtId="172" fontId="0" fillId="0" borderId="14" xfId="0" applyNumberFormat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0" fontId="0" fillId="4" borderId="47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4" borderId="7" xfId="0" applyFill="1" applyBorder="1"/>
    <xf numFmtId="0" fontId="16" fillId="4" borderId="0" xfId="0" applyFont="1" applyFill="1"/>
    <xf numFmtId="174" fontId="0" fillId="0" borderId="0" xfId="0" applyNumberFormat="1" applyAlignment="1">
      <alignment horizontal="center"/>
    </xf>
    <xf numFmtId="0" fontId="0" fillId="4" borderId="2" xfId="0" applyFill="1" applyBorder="1"/>
    <xf numFmtId="0" fontId="0" fillId="4" borderId="5" xfId="0" applyFill="1" applyBorder="1"/>
    <xf numFmtId="0" fontId="0" fillId="4" borderId="26" xfId="0" applyFill="1" applyBorder="1"/>
    <xf numFmtId="168" fontId="11" fillId="0" borderId="26" xfId="0" applyNumberFormat="1" applyFont="1" applyBorder="1" applyAlignment="1">
      <alignment horizontal="center"/>
    </xf>
    <xf numFmtId="168" fontId="11" fillId="0" borderId="28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2" fontId="11" fillId="11" borderId="7" xfId="0" applyNumberFormat="1" applyFont="1" applyFill="1" applyBorder="1" applyAlignment="1">
      <alignment horizontal="center"/>
    </xf>
    <xf numFmtId="2" fontId="11" fillId="11" borderId="9" xfId="0" applyNumberFormat="1" applyFont="1" applyFill="1" applyBorder="1" applyAlignment="1">
      <alignment horizontal="center"/>
    </xf>
    <xf numFmtId="0" fontId="0" fillId="0" borderId="0" xfId="0" quotePrefix="1"/>
    <xf numFmtId="0" fontId="11" fillId="13" borderId="54" xfId="0" applyFont="1" applyFill="1" applyBorder="1" applyAlignment="1">
      <alignment horizontal="center" vertical="center"/>
    </xf>
    <xf numFmtId="167" fontId="11" fillId="0" borderId="5" xfId="0" applyNumberFormat="1" applyFont="1" applyBorder="1" applyAlignment="1">
      <alignment horizontal="center"/>
    </xf>
    <xf numFmtId="167" fontId="11" fillId="0" borderId="6" xfId="0" applyNumberFormat="1" applyFont="1" applyBorder="1" applyAlignment="1">
      <alignment horizontal="center"/>
    </xf>
    <xf numFmtId="0" fontId="0" fillId="0" borderId="8" xfId="0" applyBorder="1"/>
    <xf numFmtId="2" fontId="0" fillId="4" borderId="1" xfId="0" applyNumberFormat="1" applyFill="1" applyBorder="1"/>
    <xf numFmtId="166" fontId="0" fillId="14" borderId="0" xfId="0" applyNumberFormat="1" applyFill="1"/>
    <xf numFmtId="0" fontId="0" fillId="15" borderId="6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168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68" fontId="11" fillId="0" borderId="0" xfId="0" applyNumberFormat="1" applyFont="1"/>
    <xf numFmtId="0" fontId="11" fillId="0" borderId="0" xfId="0" applyFont="1"/>
    <xf numFmtId="2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6" fontId="0" fillId="6" borderId="0" xfId="0" applyNumberFormat="1" applyFill="1"/>
    <xf numFmtId="2" fontId="11" fillId="13" borderId="2" xfId="0" applyNumberFormat="1" applyFont="1" applyFill="1" applyBorder="1" applyAlignment="1">
      <alignment horizontal="center" vertical="center"/>
    </xf>
    <xf numFmtId="0" fontId="0" fillId="4" borderId="23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 vertical="center"/>
    </xf>
    <xf numFmtId="168" fontId="0" fillId="4" borderId="23" xfId="0" applyNumberFormat="1" applyFill="1" applyBorder="1" applyAlignment="1">
      <alignment horizontal="center"/>
    </xf>
    <xf numFmtId="168" fontId="0" fillId="4" borderId="14" xfId="0" applyNumberFormat="1" applyFill="1" applyBorder="1" applyAlignment="1">
      <alignment horizontal="center"/>
    </xf>
    <xf numFmtId="0" fontId="0" fillId="0" borderId="0" xfId="0" applyAlignment="1">
      <alignment wrapText="1"/>
    </xf>
    <xf numFmtId="2" fontId="11" fillId="0" borderId="7" xfId="0" applyNumberFormat="1" applyFont="1" applyBorder="1" applyAlignment="1">
      <alignment horizontal="center"/>
    </xf>
    <xf numFmtId="2" fontId="11" fillId="0" borderId="9" xfId="0" applyNumberFormat="1" applyFont="1" applyBorder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left"/>
    </xf>
    <xf numFmtId="0" fontId="11" fillId="17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/>
    </xf>
    <xf numFmtId="0" fontId="16" fillId="17" borderId="0" xfId="0" applyFont="1" applyFill="1" applyAlignment="1">
      <alignment horizontal="center"/>
    </xf>
    <xf numFmtId="0" fontId="11" fillId="17" borderId="0" xfId="0" applyFont="1" applyFill="1"/>
    <xf numFmtId="168" fontId="11" fillId="17" borderId="0" xfId="0" applyNumberFormat="1" applyFont="1" applyFill="1" applyAlignment="1">
      <alignment horizontal="center"/>
    </xf>
    <xf numFmtId="168" fontId="11" fillId="17" borderId="0" xfId="0" applyNumberFormat="1" applyFont="1" applyFill="1"/>
    <xf numFmtId="2" fontId="11" fillId="17" borderId="0" xfId="0" applyNumberFormat="1" applyFont="1" applyFill="1" applyAlignment="1">
      <alignment horizontal="center"/>
    </xf>
    <xf numFmtId="169" fontId="0" fillId="17" borderId="0" xfId="0" applyNumberFormat="1" applyFill="1" applyAlignment="1">
      <alignment horizontal="center"/>
    </xf>
    <xf numFmtId="2" fontId="0" fillId="17" borderId="0" xfId="0" applyNumberFormat="1" applyFill="1" applyAlignment="1">
      <alignment horizontal="center"/>
    </xf>
    <xf numFmtId="167" fontId="0" fillId="17" borderId="0" xfId="0" applyNumberFormat="1" applyFill="1" applyAlignment="1">
      <alignment horizontal="center"/>
    </xf>
    <xf numFmtId="168" fontId="0" fillId="17" borderId="0" xfId="0" applyNumberFormat="1" applyFill="1"/>
    <xf numFmtId="174" fontId="0" fillId="17" borderId="0" xfId="0" applyNumberFormat="1" applyFill="1" applyAlignment="1">
      <alignment horizontal="center"/>
    </xf>
    <xf numFmtId="174" fontId="0" fillId="17" borderId="14" xfId="0" applyNumberFormat="1" applyFill="1" applyBorder="1" applyAlignment="1">
      <alignment horizontal="center"/>
    </xf>
    <xf numFmtId="0" fontId="0" fillId="17" borderId="14" xfId="0" applyFill="1" applyBorder="1"/>
    <xf numFmtId="168" fontId="0" fillId="17" borderId="14" xfId="0" applyNumberForma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8" borderId="14" xfId="0" applyFill="1" applyBorder="1"/>
    <xf numFmtId="0" fontId="0" fillId="18" borderId="0" xfId="0" applyFill="1"/>
    <xf numFmtId="172" fontId="0" fillId="0" borderId="14" xfId="0" applyNumberFormat="1" applyBorder="1"/>
    <xf numFmtId="173" fontId="0" fillId="0" borderId="14" xfId="0" applyNumberFormat="1" applyBorder="1"/>
    <xf numFmtId="0" fontId="0" fillId="4" borderId="27" xfId="0" applyFill="1" applyBorder="1"/>
    <xf numFmtId="0" fontId="0" fillId="0" borderId="29" xfId="0" applyBorder="1"/>
    <xf numFmtId="0" fontId="0" fillId="18" borderId="30" xfId="0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14" xfId="0" applyFill="1" applyBorder="1" applyAlignment="1">
      <alignment horizontal="center"/>
    </xf>
    <xf numFmtId="0" fontId="0" fillId="18" borderId="46" xfId="0" applyFill="1" applyBorder="1" applyAlignment="1">
      <alignment horizontal="center"/>
    </xf>
    <xf numFmtId="0" fontId="0" fillId="18" borderId="47" xfId="0" applyFill="1" applyBorder="1" applyAlignment="1">
      <alignment horizontal="center"/>
    </xf>
    <xf numFmtId="0" fontId="0" fillId="0" borderId="4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18" borderId="46" xfId="0" applyFill="1" applyBorder="1" applyAlignment="1">
      <alignment vertical="center"/>
    </xf>
    <xf numFmtId="0" fontId="0" fillId="18" borderId="47" xfId="0" applyFill="1" applyBorder="1" applyAlignment="1">
      <alignment vertical="center"/>
    </xf>
    <xf numFmtId="0" fontId="0" fillId="18" borderId="31" xfId="0" applyFill="1" applyBorder="1" applyAlignment="1">
      <alignment horizontal="center"/>
    </xf>
    <xf numFmtId="0" fontId="0" fillId="0" borderId="1" xfId="0" applyBorder="1"/>
    <xf numFmtId="168" fontId="0" fillId="0" borderId="14" xfId="0" applyNumberFormat="1" applyBorder="1" applyAlignment="1">
      <alignment horizontal="center" vertical="center"/>
    </xf>
    <xf numFmtId="0" fontId="0" fillId="18" borderId="20" xfId="0" applyFill="1" applyBorder="1" applyAlignment="1">
      <alignment horizontal="center"/>
    </xf>
    <xf numFmtId="0" fontId="0" fillId="18" borderId="61" xfId="0" applyFill="1" applyBorder="1" applyAlignment="1">
      <alignment horizontal="center"/>
    </xf>
    <xf numFmtId="0" fontId="0" fillId="18" borderId="20" xfId="0" applyFill="1" applyBorder="1"/>
    <xf numFmtId="0" fontId="0" fillId="19" borderId="0" xfId="0" applyFill="1"/>
    <xf numFmtId="0" fontId="0" fillId="0" borderId="30" xfId="0" applyBorder="1"/>
    <xf numFmtId="0" fontId="0" fillId="18" borderId="0" xfId="0" applyFill="1" applyAlignment="1">
      <alignment horizontal="center"/>
    </xf>
    <xf numFmtId="0" fontId="0" fillId="0" borderId="7" xfId="0" applyBorder="1"/>
    <xf numFmtId="176" fontId="0" fillId="0" borderId="1" xfId="0" applyNumberFormat="1" applyBorder="1"/>
    <xf numFmtId="0" fontId="0" fillId="18" borderId="23" xfId="0" applyFill="1" applyBorder="1"/>
    <xf numFmtId="0" fontId="0" fillId="0" borderId="23" xfId="0" applyBorder="1"/>
    <xf numFmtId="0" fontId="0" fillId="18" borderId="10" xfId="0" applyFill="1" applyBorder="1"/>
    <xf numFmtId="0" fontId="0" fillId="18" borderId="12" xfId="0" applyFill="1" applyBorder="1"/>
    <xf numFmtId="0" fontId="0" fillId="18" borderId="13" xfId="0" applyFill="1" applyBorder="1"/>
    <xf numFmtId="0" fontId="0" fillId="18" borderId="15" xfId="0" applyFill="1" applyBorder="1"/>
    <xf numFmtId="0" fontId="0" fillId="18" borderId="59" xfId="0" applyFill="1" applyBorder="1"/>
    <xf numFmtId="0" fontId="0" fillId="0" borderId="58" xfId="0" applyBorder="1"/>
    <xf numFmtId="0" fontId="0" fillId="18" borderId="63" xfId="0" applyFill="1" applyBorder="1"/>
    <xf numFmtId="0" fontId="0" fillId="0" borderId="64" xfId="0" applyBorder="1"/>
    <xf numFmtId="0" fontId="0" fillId="18" borderId="65" xfId="0" applyFill="1" applyBorder="1"/>
    <xf numFmtId="10" fontId="0" fillId="0" borderId="0" xfId="0" applyNumberFormat="1"/>
    <xf numFmtId="172" fontId="16" fillId="0" borderId="0" xfId="0" applyNumberFormat="1" applyFont="1"/>
    <xf numFmtId="10" fontId="16" fillId="0" borderId="0" xfId="0" applyNumberFormat="1" applyFont="1"/>
    <xf numFmtId="0" fontId="0" fillId="0" borderId="62" xfId="0" applyBorder="1"/>
    <xf numFmtId="0" fontId="0" fillId="0" borderId="23" xfId="0" applyBorder="1" applyAlignment="1">
      <alignment vertical="center"/>
    </xf>
    <xf numFmtId="173" fontId="0" fillId="0" borderId="0" xfId="0" applyNumberFormat="1"/>
    <xf numFmtId="0" fontId="0" fillId="0" borderId="23" xfId="0" applyBorder="1" applyAlignment="1">
      <alignment horizontal="center" vertical="center"/>
    </xf>
    <xf numFmtId="172" fontId="0" fillId="0" borderId="1" xfId="0" applyNumberFormat="1" applyBorder="1"/>
    <xf numFmtId="10" fontId="0" fillId="0" borderId="1" xfId="0" applyNumberFormat="1" applyBorder="1"/>
    <xf numFmtId="2" fontId="0" fillId="0" borderId="1" xfId="0" applyNumberFormat="1" applyBorder="1"/>
    <xf numFmtId="168" fontId="0" fillId="0" borderId="1" xfId="0" applyNumberFormat="1" applyBorder="1"/>
    <xf numFmtId="0" fontId="16" fillId="0" borderId="14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0" fontId="16" fillId="20" borderId="14" xfId="0" applyFont="1" applyFill="1" applyBorder="1" applyAlignment="1">
      <alignment horizontal="center" vertical="center"/>
    </xf>
    <xf numFmtId="2" fontId="16" fillId="0" borderId="14" xfId="0" applyNumberFormat="1" applyFont="1" applyBorder="1"/>
    <xf numFmtId="0" fontId="16" fillId="20" borderId="14" xfId="0" applyFont="1" applyFill="1" applyBorder="1" applyAlignment="1">
      <alignment horizontal="center" vertical="center" wrapText="1"/>
    </xf>
    <xf numFmtId="167" fontId="0" fillId="0" borderId="14" xfId="0" applyNumberFormat="1" applyBorder="1"/>
    <xf numFmtId="2" fontId="0" fillId="0" borderId="14" xfId="0" applyNumberFormat="1" applyBorder="1"/>
    <xf numFmtId="177" fontId="0" fillId="0" borderId="14" xfId="0" applyNumberFormat="1" applyBorder="1"/>
    <xf numFmtId="168" fontId="0" fillId="0" borderId="14" xfId="0" applyNumberFormat="1" applyBorder="1"/>
    <xf numFmtId="0" fontId="0" fillId="4" borderId="14" xfId="0" applyFill="1" applyBorder="1"/>
    <xf numFmtId="167" fontId="0" fillId="4" borderId="14" xfId="0" applyNumberFormat="1" applyFill="1" applyBorder="1"/>
    <xf numFmtId="2" fontId="0" fillId="4" borderId="14" xfId="0" applyNumberFormat="1" applyFill="1" applyBorder="1"/>
    <xf numFmtId="168" fontId="16" fillId="20" borderId="14" xfId="0" applyNumberFormat="1" applyFont="1" applyFill="1" applyBorder="1" applyAlignment="1">
      <alignment horizontal="center" vertical="center" wrapText="1"/>
    </xf>
    <xf numFmtId="2" fontId="0" fillId="3" borderId="14" xfId="0" applyNumberFormat="1" applyFill="1" applyBorder="1"/>
    <xf numFmtId="2" fontId="0" fillId="3" borderId="14" xfId="5" applyNumberFormat="1" applyFont="1" applyFill="1" applyBorder="1"/>
    <xf numFmtId="173" fontId="0" fillId="21" borderId="14" xfId="0" applyNumberFormat="1" applyFill="1" applyBorder="1"/>
    <xf numFmtId="0" fontId="0" fillId="11" borderId="31" xfId="0" applyFill="1" applyBorder="1" applyAlignment="1">
      <alignment horizontal="center"/>
    </xf>
    <xf numFmtId="0" fontId="0" fillId="0" borderId="29" xfId="0" applyBorder="1" applyAlignment="1">
      <alignment horizontal="center"/>
    </xf>
    <xf numFmtId="174" fontId="0" fillId="0" borderId="0" xfId="0" applyNumberFormat="1"/>
    <xf numFmtId="174" fontId="0" fillId="0" borderId="23" xfId="0" applyNumberFormat="1" applyBorder="1"/>
    <xf numFmtId="9" fontId="0" fillId="0" borderId="0" xfId="0" applyNumberFormat="1" applyAlignment="1">
      <alignment horizontal="center"/>
    </xf>
    <xf numFmtId="0" fontId="5" fillId="12" borderId="33" xfId="0" applyFont="1" applyFill="1" applyBorder="1" applyAlignment="1">
      <alignment horizontal="center" vertical="center" wrapText="1"/>
    </xf>
    <xf numFmtId="0" fontId="5" fillId="12" borderId="35" xfId="0" applyFont="1" applyFill="1" applyBorder="1" applyAlignment="1">
      <alignment horizontal="center" vertical="center" wrapText="1"/>
    </xf>
    <xf numFmtId="0" fontId="5" fillId="12" borderId="37" xfId="0" applyFont="1" applyFill="1" applyBorder="1" applyAlignment="1">
      <alignment horizontal="center" vertical="center" wrapText="1"/>
    </xf>
    <xf numFmtId="0" fontId="5" fillId="12" borderId="14" xfId="0" applyFont="1" applyFill="1" applyBorder="1" applyAlignment="1">
      <alignment horizontal="center" vertical="center" wrapText="1"/>
    </xf>
    <xf numFmtId="0" fontId="5" fillId="12" borderId="42" xfId="0" applyFont="1" applyFill="1" applyBorder="1" applyAlignment="1">
      <alignment horizontal="center" vertical="center" wrapText="1"/>
    </xf>
    <xf numFmtId="0" fontId="5" fillId="12" borderId="10" xfId="0" applyFont="1" applyFill="1" applyBorder="1" applyAlignment="1">
      <alignment horizontal="center" vertical="center" wrapText="1"/>
    </xf>
    <xf numFmtId="0" fontId="5" fillId="12" borderId="13" xfId="0" applyFont="1" applyFill="1" applyBorder="1" applyAlignment="1">
      <alignment horizontal="center" vertical="center" wrapText="1"/>
    </xf>
    <xf numFmtId="168" fontId="0" fillId="4" borderId="0" xfId="0" applyNumberFormat="1" applyFill="1"/>
    <xf numFmtId="0" fontId="0" fillId="16" borderId="0" xfId="0" applyFill="1"/>
    <xf numFmtId="2" fontId="0" fillId="16" borderId="7" xfId="0" applyNumberFormat="1" applyFill="1" applyBorder="1" applyAlignment="1">
      <alignment horizontal="left"/>
    </xf>
    <xf numFmtId="0" fontId="16" fillId="16" borderId="2" xfId="0" applyFont="1" applyFill="1" applyBorder="1" applyAlignment="1">
      <alignment horizontal="center"/>
    </xf>
    <xf numFmtId="0" fontId="11" fillId="16" borderId="4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72" fontId="0" fillId="16" borderId="1" xfId="0" applyNumberFormat="1" applyFill="1" applyBorder="1" applyAlignment="1">
      <alignment horizontal="center"/>
    </xf>
    <xf numFmtId="178" fontId="0" fillId="0" borderId="0" xfId="0" applyNumberFormat="1"/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14" xfId="0" applyFont="1" applyBorder="1" applyAlignment="1">
      <alignment horizontal="left"/>
    </xf>
    <xf numFmtId="0" fontId="0" fillId="0" borderId="0" xfId="0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172" fontId="14" fillId="6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67" fontId="0" fillId="6" borderId="0" xfId="0" applyNumberFormat="1" applyFill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8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left"/>
    </xf>
    <xf numFmtId="0" fontId="2" fillId="0" borderId="6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6" xfId="0" applyFont="1" applyFill="1" applyBorder="1" applyAlignment="1">
      <alignment horizontal="left"/>
    </xf>
    <xf numFmtId="0" fontId="0" fillId="4" borderId="5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/>
    <xf numFmtId="0" fontId="0" fillId="0" borderId="9" xfId="0" applyBorder="1"/>
    <xf numFmtId="0" fontId="11" fillId="0" borderId="7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168" fontId="11" fillId="0" borderId="5" xfId="0" applyNumberFormat="1" applyFont="1" applyBorder="1" applyAlignment="1">
      <alignment horizontal="center"/>
    </xf>
    <xf numFmtId="168" fontId="11" fillId="0" borderId="6" xfId="0" applyNumberFormat="1" applyFont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0" fillId="17" borderId="0" xfId="0" applyFill="1" applyAlignment="1">
      <alignment horizontal="center" vertical="center"/>
    </xf>
    <xf numFmtId="0" fontId="0" fillId="11" borderId="27" xfId="0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0" fontId="12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68" fontId="0" fillId="8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" fillId="0" borderId="7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vertical="top" wrapText="1"/>
    </xf>
    <xf numFmtId="0" fontId="8" fillId="0" borderId="9" xfId="0" applyFont="1" applyBorder="1" applyAlignment="1">
      <alignment horizontal="center" vertical="top" wrapText="1"/>
    </xf>
  </cellXfs>
  <cellStyles count="7">
    <cellStyle name="Comma 2" xfId="4" xr:uid="{34C5F4D9-C83C-4905-8504-F8F16F61F93F}"/>
    <cellStyle name="Currency" xfId="6" builtinId="4"/>
    <cellStyle name="Currency 2" xfId="3" xr:uid="{06C86EEC-04C8-4B46-989C-2DDB381A7633}"/>
    <cellStyle name="Hyperlink 2" xfId="1" xr:uid="{7EC432A1-FC15-44AC-B0D3-2E9654D3D2EA}"/>
    <cellStyle name="Normal" xfId="0" builtinId="0"/>
    <cellStyle name="Percent" xfId="5" builtinId="5"/>
    <cellStyle name="Percent 2" xfId="2" xr:uid="{74E8A559-16C1-468B-A637-F93C13FB0840}"/>
  </cellStyles>
  <dxfs count="19"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Estimated Emission Exposure - Current</a:t>
            </a:r>
          </a:p>
        </c:rich>
      </c:tx>
      <c:layout>
        <c:manualLayout>
          <c:xMode val="edge"/>
          <c:yMode val="edge"/>
          <c:x val="0.3440020341554712"/>
          <c:y val="2.60162601626016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703448957124909E-2"/>
          <c:y val="0.12106098723458684"/>
          <c:w val="0.92213053083804741"/>
          <c:h val="0.74552800109903572"/>
        </c:manualLayout>
      </c:layout>
      <c:areaChart>
        <c:grouping val="standard"/>
        <c:varyColors val="0"/>
        <c:ser>
          <c:idx val="2"/>
          <c:order val="2"/>
          <c:tx>
            <c:v>Emission Exposure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calculation'!$G$85:$G$91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A-4F32-85C5-5D5FCEE3D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40928"/>
        <c:axId val="1802974608"/>
      </c:areaChart>
      <c:barChart>
        <c:barDir val="col"/>
        <c:grouping val="clustered"/>
        <c:varyColors val="0"/>
        <c:ser>
          <c:idx val="1"/>
          <c:order val="1"/>
          <c:tx>
            <c:v>EU ETS Exposure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calculation'!$F$85:$F$91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4A-4F32-85C5-5D5FCEE3D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540928"/>
        <c:axId val="1802974608"/>
      </c:barChart>
      <c:lineChart>
        <c:grouping val="standard"/>
        <c:varyColors val="0"/>
        <c:ser>
          <c:idx val="0"/>
          <c:order val="0"/>
          <c:tx>
            <c:v>Fuel EU Penalty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calculation'!$E$85:$E$91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4A-4F32-85C5-5D5FCEE3D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540928"/>
        <c:axId val="1802974608"/>
      </c:lineChart>
      <c:catAx>
        <c:axId val="1655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74608"/>
        <c:crosses val="autoZero"/>
        <c:auto val="1"/>
        <c:lblAlgn val="ctr"/>
        <c:lblOffset val="100"/>
        <c:noMultiLvlLbl val="0"/>
      </c:catAx>
      <c:valAx>
        <c:axId val="1802974608"/>
        <c:scaling>
          <c:orientation val="minMax"/>
          <c:max val="7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 $</a:t>
                </a:r>
              </a:p>
            </c:rich>
          </c:tx>
          <c:layout>
            <c:manualLayout>
              <c:xMode val="edge"/>
              <c:yMode val="edge"/>
              <c:x val="6.8894453363615535E-2"/>
              <c:y val="0.42163703129523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40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567913385826773"/>
          <c:y val="0.15319444444444447"/>
          <c:w val="0.68731386701662289"/>
          <c:h val="0.614984324876057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'Penalty Calculator'!$C$71:$C$75</c:f>
              <c:strCache>
                <c:ptCount val="5"/>
                <c:pt idx="0">
                  <c:v>Total fuel cost</c:v>
                </c:pt>
                <c:pt idx="1">
                  <c:v>EU ETS Exposure</c:v>
                </c:pt>
                <c:pt idx="2">
                  <c:v>FuelEU Penalty</c:v>
                </c:pt>
                <c:pt idx="3">
                  <c:v>FuelEU Surplus</c:v>
                </c:pt>
                <c:pt idx="4">
                  <c:v>Total exposure</c:v>
                </c:pt>
              </c:strCache>
            </c:strRef>
          </c:cat>
          <c:val>
            <c:numRef>
              <c:f>'Penalty Calculator'!$D$71:$D$75</c:f>
              <c:numCache>
                <c:formatCode>_-[$$-409]* #,##0_ ;_-[$$-409]* \-#,##0\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 formatCode="_-[$$-409]* #,##0.00_ ;_-[$$-409]* \-#,##0.00\ ;_-[$$-409]* &quot;-&quot;??_ ;_-@_ 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7-4C8E-8913-DB5432F28F6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'Penalty Calculator'!$C$71:$C$75</c:f>
              <c:strCache>
                <c:ptCount val="5"/>
                <c:pt idx="0">
                  <c:v>Total fuel cost</c:v>
                </c:pt>
                <c:pt idx="1">
                  <c:v>EU ETS Exposure</c:v>
                </c:pt>
                <c:pt idx="2">
                  <c:v>FuelEU Penalty</c:v>
                </c:pt>
                <c:pt idx="3">
                  <c:v>FuelEU Surplus</c:v>
                </c:pt>
                <c:pt idx="4">
                  <c:v>Total exposure</c:v>
                </c:pt>
              </c:strCache>
            </c:strRef>
          </c:cat>
          <c:val>
            <c:numRef>
              <c:f>'Penalty Calculator'!$S$71:$S$75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7-4C8E-8913-DB5432F28F6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'Penalty Calculator'!$C$71:$C$75</c:f>
              <c:strCache>
                <c:ptCount val="5"/>
                <c:pt idx="0">
                  <c:v>Total fuel cost</c:v>
                </c:pt>
                <c:pt idx="1">
                  <c:v>EU ETS Exposure</c:v>
                </c:pt>
                <c:pt idx="2">
                  <c:v>FuelEU Penalty</c:v>
                </c:pt>
                <c:pt idx="3">
                  <c:v>FuelEU Surplus</c:v>
                </c:pt>
                <c:pt idx="4">
                  <c:v>Total exposure</c:v>
                </c:pt>
              </c:strCache>
            </c:strRef>
          </c:cat>
          <c:val>
            <c:numRef>
              <c:f>'Penalty Calculator'!$U$71:$U$75</c:f>
              <c:numCache>
                <c:formatCode>_-[$$-409]* #,##0_ ;_-[$$-409]* \-#,##0\ ;_-[$$-409]* "-"??_ ;_-@_ </c:formatCode>
                <c:ptCount val="5"/>
                <c:pt idx="0">
                  <c:v>0</c:v>
                </c:pt>
                <c:pt idx="1">
                  <c:v>0</c:v>
                </c:pt>
                <c:pt idx="2" formatCode="_-[$$-409]* #,##0.00_ ;_-[$$-409]* \-#,##0.00\ ;_-[$$-409]* &quot;-&quot;??_ ;_-@_ 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27-4C8E-8913-DB5432F28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84391471"/>
        <c:axId val="384386671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'Penalty Calculator'!$C$71:$C$75</c15:sqref>
                        </c15:formulaRef>
                      </c:ext>
                    </c:extLst>
                    <c:strCache>
                      <c:ptCount val="5"/>
                      <c:pt idx="0">
                        <c:v>Total fuel cost</c:v>
                      </c:pt>
                      <c:pt idx="1">
                        <c:v>EU ETS Exposure</c:v>
                      </c:pt>
                      <c:pt idx="2">
                        <c:v>FuelEU Penalty</c:v>
                      </c:pt>
                      <c:pt idx="3">
                        <c:v>FuelEU Surplus</c:v>
                      </c:pt>
                      <c:pt idx="4">
                        <c:v>Total exposure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'Penalty Calculator'!$T$71:$T$75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C027-4C8E-8913-DB5432F28F60}"/>
                  </c:ext>
                </c:extLst>
              </c15:ser>
            </c15:filteredBarSeries>
          </c:ext>
        </c:extLst>
      </c:barChart>
      <c:catAx>
        <c:axId val="3843914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86671"/>
        <c:crosses val="autoZero"/>
        <c:auto val="1"/>
        <c:lblAlgn val="ctr"/>
        <c:lblOffset val="100"/>
        <c:noMultiLvlLbl val="0"/>
      </c:catAx>
      <c:valAx>
        <c:axId val="38438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9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Emission Exposure - B30 Biofuel + OPS at Rotterdam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703448957124909E-2"/>
          <c:y val="0.12106098723458684"/>
          <c:w val="0.92213053083804741"/>
          <c:h val="0.74552800109903572"/>
        </c:manualLayout>
      </c:layout>
      <c:areaChart>
        <c:grouping val="stacked"/>
        <c:varyColors val="0"/>
        <c:ser>
          <c:idx val="2"/>
          <c:order val="2"/>
          <c:tx>
            <c:v>Total mission Expoure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calculation'!$G$85:$G$91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2-41F4-80AA-5C0D4C9CC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40928"/>
        <c:axId val="1802974608"/>
      </c:areaChart>
      <c:barChart>
        <c:barDir val="col"/>
        <c:grouping val="clustered"/>
        <c:varyColors val="0"/>
        <c:ser>
          <c:idx val="1"/>
          <c:order val="1"/>
          <c:tx>
            <c:v>ETS Exposure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calculation'!$F$85:$F$91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F-4169-BAE0-B27E9EE63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540928"/>
        <c:axId val="1802974608"/>
      </c:barChart>
      <c:lineChart>
        <c:grouping val="standard"/>
        <c:varyColors val="0"/>
        <c:ser>
          <c:idx val="0"/>
          <c:order val="0"/>
          <c:tx>
            <c:v>Feul EU Penalty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'Back end calculation'!$C$85:$C$91</c:f>
              <c:strCache>
                <c:ptCount val="7"/>
                <c:pt idx="0">
                  <c:v>Year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strCache>
            </c:strRef>
          </c:cat>
          <c:val>
            <c:numRef>
              <c:f>'Back end calculation'!$E$85:$E$91</c:f>
              <c:numCache>
                <c:formatCode>_-[$$-409]* #,##0_ ;_-[$$-409]* \-#,##0\ ;_-[$$-409]* "-"??_ ;_-@_ </c:formatCode>
                <c:ptCount val="7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C-4DB5-BACB-3EDBDFB0C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540928"/>
        <c:axId val="1802974608"/>
      </c:lineChart>
      <c:catAx>
        <c:axId val="1655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74608"/>
        <c:crosses val="autoZero"/>
        <c:auto val="1"/>
        <c:lblAlgn val="ctr"/>
        <c:lblOffset val="100"/>
        <c:noMultiLvlLbl val="0"/>
      </c:catAx>
      <c:valAx>
        <c:axId val="1802974608"/>
        <c:scaling>
          <c:orientation val="minMax"/>
          <c:max val="7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 $</a:t>
                </a:r>
              </a:p>
            </c:rich>
          </c:tx>
          <c:layout>
            <c:manualLayout>
              <c:xMode val="edge"/>
              <c:yMode val="edge"/>
              <c:x val="6.8894453363615535E-2"/>
              <c:y val="0.42163703129523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40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62" horiz="1" max="100" page="10" val="5"/>
</file>

<file path=xl/ctrlProps/ctrlProp2.xml><?xml version="1.0" encoding="utf-8"?>
<formControlPr xmlns="http://schemas.microsoft.com/office/spreadsheetml/2009/9/main" objectType="Scroll" dx="22" fmlaLink="$O$64" horiz="1" max="100" page="10" val="0"/>
</file>

<file path=xl/ctrlProps/ctrlProp3.xml><?xml version="1.0" encoding="utf-8"?>
<formControlPr xmlns="http://schemas.microsoft.com/office/spreadsheetml/2009/9/main" objectType="Scroll" dx="22" fmlaLink="$O$65" horiz="1" max="100" page="10" val="0"/>
</file>

<file path=xl/ctrlProps/ctrlProp4.xml><?xml version="1.0" encoding="utf-8"?>
<formControlPr xmlns="http://schemas.microsoft.com/office/spreadsheetml/2009/9/main" objectType="Scroll" dx="22" fmlaLink="$O$63" horiz="1" max="1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60</xdr:row>
          <xdr:rowOff>222250</xdr:rowOff>
        </xdr:from>
        <xdr:to>
          <xdr:col>17</xdr:col>
          <xdr:colOff>247650</xdr:colOff>
          <xdr:row>62</xdr:row>
          <xdr:rowOff>0</xdr:rowOff>
        </xdr:to>
        <xdr:sp macro="" textlink="">
          <xdr:nvSpPr>
            <xdr:cNvPr id="3406" name="Scroll Bar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0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</xdr:col>
      <xdr:colOff>216667</xdr:colOff>
      <xdr:row>22</xdr:row>
      <xdr:rowOff>210606</xdr:rowOff>
    </xdr:from>
    <xdr:ext cx="1386478" cy="530658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26DBCD9-FCBB-C6C6-EC1C-950B92D5BCBF}"/>
            </a:ext>
          </a:extLst>
        </xdr:cNvPr>
        <xdr:cNvSpPr txBox="1"/>
      </xdr:nvSpPr>
      <xdr:spPr>
        <a:xfrm>
          <a:off x="534167" y="2845856"/>
          <a:ext cx="1386478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/>
            <a:t>Fuel</a:t>
          </a:r>
        </a:p>
        <a:p>
          <a:pPr algn="ctr"/>
          <a:r>
            <a:rPr lang="en-US" sz="1400"/>
            <a:t>selection</a:t>
          </a:r>
        </a:p>
      </xdr:txBody>
    </xdr:sp>
    <xdr:clientData/>
  </xdr:oneCellAnchor>
  <xdr:oneCellAnchor>
    <xdr:from>
      <xdr:col>31</xdr:col>
      <xdr:colOff>93134</xdr:colOff>
      <xdr:row>7</xdr:row>
      <xdr:rowOff>56091</xdr:rowOff>
    </xdr:from>
    <xdr:ext cx="1989666" cy="342786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A52CCABD-DC5F-446F-8680-35B00381C619}"/>
            </a:ext>
          </a:extLst>
        </xdr:cNvPr>
        <xdr:cNvSpPr txBox="1"/>
      </xdr:nvSpPr>
      <xdr:spPr>
        <a:xfrm>
          <a:off x="10655301" y="1400174"/>
          <a:ext cx="198966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600"/>
            <a:t>FuelEU Compliance</a:t>
          </a:r>
        </a:p>
      </xdr:txBody>
    </xdr:sp>
    <xdr:clientData/>
  </xdr:oneCellAnchor>
  <xdr:oneCellAnchor>
    <xdr:from>
      <xdr:col>2</xdr:col>
      <xdr:colOff>17990</xdr:colOff>
      <xdr:row>40</xdr:row>
      <xdr:rowOff>95252</xdr:rowOff>
    </xdr:from>
    <xdr:ext cx="1205443" cy="613832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F477844-0099-42C5-A1B2-A07305BF737C}"/>
            </a:ext>
          </a:extLst>
        </xdr:cNvPr>
        <xdr:cNvSpPr txBox="1"/>
      </xdr:nvSpPr>
      <xdr:spPr>
        <a:xfrm>
          <a:off x="652990" y="6074835"/>
          <a:ext cx="1205443" cy="6138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600"/>
            <a:t>Estimated Exposure </a:t>
          </a:r>
        </a:p>
      </xdr:txBody>
    </xdr:sp>
    <xdr:clientData/>
  </xdr:oneCellAnchor>
  <xdr:twoCellAnchor>
    <xdr:from>
      <xdr:col>29</xdr:col>
      <xdr:colOff>83341</xdr:colOff>
      <xdr:row>29</xdr:row>
      <xdr:rowOff>71436</xdr:rowOff>
    </xdr:from>
    <xdr:to>
      <xdr:col>37</xdr:col>
      <xdr:colOff>784487</xdr:colOff>
      <xdr:row>44</xdr:row>
      <xdr:rowOff>182562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7EC08-FEEA-4CC4-8603-BB197E57E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18710</xdr:colOff>
      <xdr:row>12</xdr:row>
      <xdr:rowOff>106097</xdr:rowOff>
    </xdr:from>
    <xdr:to>
      <xdr:col>2</xdr:col>
      <xdr:colOff>1145862</xdr:colOff>
      <xdr:row>22</xdr:row>
      <xdr:rowOff>155660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DFDE22-4696-4757-9B3E-251AEB082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7835" y="2773097"/>
          <a:ext cx="1127355" cy="1264001"/>
        </a:xfrm>
        <a:prstGeom prst="rect">
          <a:avLst/>
        </a:prstGeom>
      </xdr:spPr>
    </xdr:pic>
    <xdr:clientData/>
  </xdr:twoCellAnchor>
  <xdr:twoCellAnchor editAs="oneCell">
    <xdr:from>
      <xdr:col>1</xdr:col>
      <xdr:colOff>137848</xdr:colOff>
      <xdr:row>35</xdr:row>
      <xdr:rowOff>164836</xdr:rowOff>
    </xdr:from>
    <xdr:to>
      <xdr:col>3</xdr:col>
      <xdr:colOff>153446</xdr:colOff>
      <xdr:row>40</xdr:row>
      <xdr:rowOff>77202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FE5C021-45AD-4D6F-B2A8-1F8820B1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7411" y="6189399"/>
          <a:ext cx="1482107" cy="8648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31750</xdr:colOff>
          <xdr:row>62</xdr:row>
          <xdr:rowOff>247650</xdr:rowOff>
        </xdr:from>
        <xdr:to>
          <xdr:col>17</xdr:col>
          <xdr:colOff>247650</xdr:colOff>
          <xdr:row>64</xdr:row>
          <xdr:rowOff>31750</xdr:rowOff>
        </xdr:to>
        <xdr:sp macro="" textlink="">
          <xdr:nvSpPr>
            <xdr:cNvPr id="3400" name="Scroll Bar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0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31750</xdr:colOff>
          <xdr:row>64</xdr:row>
          <xdr:rowOff>0</xdr:rowOff>
        </xdr:from>
        <xdr:to>
          <xdr:col>17</xdr:col>
          <xdr:colOff>247650</xdr:colOff>
          <xdr:row>65</xdr:row>
          <xdr:rowOff>31750</xdr:rowOff>
        </xdr:to>
        <xdr:sp macro="" textlink="">
          <xdr:nvSpPr>
            <xdr:cNvPr id="3404" name="Scroll Bar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0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61</xdr:row>
          <xdr:rowOff>228600</xdr:rowOff>
        </xdr:from>
        <xdr:to>
          <xdr:col>17</xdr:col>
          <xdr:colOff>241300</xdr:colOff>
          <xdr:row>63</xdr:row>
          <xdr:rowOff>0</xdr:rowOff>
        </xdr:to>
        <xdr:sp macro="" textlink="">
          <xdr:nvSpPr>
            <xdr:cNvPr id="3405" name="Scroll Bar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0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238124</xdr:colOff>
      <xdr:row>66</xdr:row>
      <xdr:rowOff>134540</xdr:rowOff>
    </xdr:from>
    <xdr:to>
      <xdr:col>14</xdr:col>
      <xdr:colOff>297656</xdr:colOff>
      <xdr:row>83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EF2E81-C2B7-D85A-E5E8-7D7EBF23D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262626</xdr:colOff>
      <xdr:row>6</xdr:row>
      <xdr:rowOff>37646</xdr:rowOff>
    </xdr:from>
    <xdr:to>
      <xdr:col>6</xdr:col>
      <xdr:colOff>1086261</xdr:colOff>
      <xdr:row>20</xdr:row>
      <xdr:rowOff>2963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C70977-46A1-4B62-B75A-AF03C05FC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626" y="1254729"/>
          <a:ext cx="7236288" cy="27034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24568</xdr:rowOff>
    </xdr:from>
    <xdr:to>
      <xdr:col>9</xdr:col>
      <xdr:colOff>400954</xdr:colOff>
      <xdr:row>68</xdr:row>
      <xdr:rowOff>94295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5402B-FE3E-467F-85CB-7609B1786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076118"/>
          <a:ext cx="10518404" cy="9714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12548</xdr:rowOff>
    </xdr:from>
    <xdr:to>
      <xdr:col>7</xdr:col>
      <xdr:colOff>246247</xdr:colOff>
      <xdr:row>82</xdr:row>
      <xdr:rowOff>55755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A3AF2A-3336-4795-8E04-90AEA15B6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352215"/>
          <a:ext cx="8241083" cy="1122707"/>
        </a:xfrm>
        <a:prstGeom prst="rect">
          <a:avLst/>
        </a:prstGeom>
      </xdr:spPr>
    </xdr:pic>
    <xdr:clientData/>
  </xdr:twoCellAnchor>
  <xdr:twoCellAnchor>
    <xdr:from>
      <xdr:col>9</xdr:col>
      <xdr:colOff>1640417</xdr:colOff>
      <xdr:row>71</xdr:row>
      <xdr:rowOff>7410</xdr:rowOff>
    </xdr:from>
    <xdr:to>
      <xdr:col>23</xdr:col>
      <xdr:colOff>105833</xdr:colOff>
      <xdr:row>97</xdr:row>
      <xdr:rowOff>122768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6E2432-3182-4D27-AEF8-8D11BDB6D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309563</xdr:colOff>
      <xdr:row>61</xdr:row>
      <xdr:rowOff>119062</xdr:rowOff>
    </xdr:from>
    <xdr:to>
      <xdr:col>26</xdr:col>
      <xdr:colOff>952500</xdr:colOff>
      <xdr:row>64</xdr:row>
      <xdr:rowOff>11906</xdr:rowOff>
    </xdr:to>
    <xdr:sp macro="[0]!RunGoalSeek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AD4E962-54C4-A088-9E1C-EB805F4A81F4}"/>
            </a:ext>
          </a:extLst>
        </xdr:cNvPr>
        <xdr:cNvSpPr/>
      </xdr:nvSpPr>
      <xdr:spPr>
        <a:xfrm>
          <a:off x="28515469" y="10477500"/>
          <a:ext cx="2214562" cy="46434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GoalSeek =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53</xdr:row>
      <xdr:rowOff>139701</xdr:rowOff>
    </xdr:from>
    <xdr:to>
      <xdr:col>1</xdr:col>
      <xdr:colOff>496322</xdr:colOff>
      <xdr:row>80</xdr:row>
      <xdr:rowOff>146051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8842E8-9757-7AEE-3B77-C002BA06B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9715501"/>
          <a:ext cx="3912622" cy="4978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ezar Jokhi" id="{65C12768-84BB-4FA6-9624-02246A337903}" userId="S::KeJokhi@get-dmcc.com::819469bf-c566-49ad-95c6-a2a6105a8ca2" providerId="AD"/>
  <person displayName="Sai Venkatesh Nistala" id="{F9866696-BD6E-4214-BDB3-2D3477120DDD}" userId="S::SNistala@get-dmcc.com::ec51fc9f-a14a-4aea-9d18-2c88a2bd477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R54" dT="2024-07-02T07:55:38.33" personId="{F9866696-BD6E-4214-BDB3-2D3477120DDD}" id="{35113187-E922-4CBB-AC78-BDD31165B926}">
    <text xml:space="preserve">Add 5% discount if Ice Class (in Calculator sheet, cell E6) is selected as 1A or 1A Super
</text>
  </threadedComment>
  <threadedComment ref="AR55" dT="2024-07-01T12:32:07.83" personId="{F9866696-BD6E-4214-BDB3-2D3477120DDD}" id="{23BA6709-A488-4201-807B-8C5D9AFF9923}">
    <text>From Penalty Calculator sheet O6 cell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B18" dT="2024-06-28T09:53:40.05" personId="{65C12768-84BB-4FA6-9624-02246A337903}" id="{73B22D44-0C37-4C33-BFDE-D7A7DB1F0994}">
    <text>No pathway in RED, average assumed value.</text>
  </threadedComment>
  <threadedComment ref="AF18" dT="2024-06-28T09:53:40.05" personId="{65C12768-84BB-4FA6-9624-02246A337903}" id="{3999B9F0-E647-45CC-A0B5-1914A746ED41}">
    <text>No pathway in RED, average assumed value.</text>
  </threadedComment>
  <threadedComment ref="AJ18" dT="2024-06-28T09:53:40.05" personId="{65C12768-84BB-4FA6-9624-02246A337903}" id="{A7788F04-9CF9-4981-8976-C31FF9122D83}">
    <text>No pathway in RED, average assumed value.</text>
  </threadedComment>
  <threadedComment ref="AN18" dT="2024-06-28T09:53:40.05" personId="{65C12768-84BB-4FA6-9624-02246A337903}" id="{4B8878C6-F5E8-4466-8629-86FACB7860B4}">
    <text>No pathway in RED, average assumed value.</text>
  </threadedComment>
  <threadedComment ref="D20" dT="2024-06-28T09:53:40.05" personId="{65C12768-84BB-4FA6-9624-02246A337903}" id="{53364D26-A3D1-4331-92DC-1C64EB5B049B}">
    <text>No pathway in RED, average assumed value.</text>
  </threadedComment>
  <threadedComment ref="D21" dT="2024-06-28T09:53:40.05" personId="{65C12768-84BB-4FA6-9624-02246A337903}" id="{01CF77A4-59B1-4F05-8FD9-E19A5EB735E7}">
    <text>No pathway in RED, average assumed value.</text>
  </threadedComment>
  <threadedComment ref="D22" dT="2024-06-28T09:53:40.05" personId="{65C12768-84BB-4FA6-9624-02246A337903}" id="{106B66C0-A0AA-4C90-B39D-4633B7DE1C7B}">
    <text>No pathway in RED, average assumed value.</text>
  </threadedComment>
  <threadedComment ref="D23" dT="2024-06-28T09:53:40.05" personId="{65C12768-84BB-4FA6-9624-02246A337903}" id="{BC364DED-76F5-4274-AE8F-E01DAC5646C3}">
    <text>No pathway in RED, average assumed value.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06F8D-D7CD-4962-A2DF-30B84EEDCABC}">
  <sheetPr codeName="Sheet2">
    <tabColor rgb="FFFFFF00"/>
  </sheetPr>
  <dimension ref="B1:AS79"/>
  <sheetViews>
    <sheetView showGridLines="0" tabSelected="1" zoomScaleNormal="100" workbookViewId="0">
      <selection activeCell="R23" sqref="R23:S23"/>
    </sheetView>
  </sheetViews>
  <sheetFormatPr defaultColWidth="4.54296875" defaultRowHeight="14.5" x14ac:dyDescent="0.35"/>
  <cols>
    <col min="3" max="3" width="17.26953125" customWidth="1"/>
    <col min="4" max="4" width="16.26953125" customWidth="1"/>
    <col min="5" max="6" width="8.1796875" customWidth="1"/>
    <col min="7" max="7" width="8.54296875" customWidth="1"/>
    <col min="8" max="8" width="6.7265625" customWidth="1"/>
    <col min="9" max="9" width="15.453125" customWidth="1"/>
    <col min="10" max="10" width="10.7265625" customWidth="1"/>
    <col min="11" max="11" width="7.1796875" customWidth="1"/>
    <col min="12" max="12" width="19" customWidth="1"/>
    <col min="13" max="13" width="15" customWidth="1"/>
    <col min="14" max="14" width="8.81640625" customWidth="1"/>
    <col min="15" max="15" width="9.7265625" customWidth="1"/>
    <col min="16" max="16" width="8.453125" customWidth="1"/>
    <col min="17" max="17" width="0.81640625" customWidth="1"/>
    <col min="18" max="18" width="15.54296875" customWidth="1"/>
    <col min="19" max="19" width="10.1796875" customWidth="1"/>
    <col min="20" max="20" width="10.453125" customWidth="1"/>
    <col min="21" max="21" width="17.26953125" customWidth="1"/>
    <col min="22" max="22" width="11.7265625" bestFit="1" customWidth="1"/>
    <col min="23" max="23" width="6.7265625" customWidth="1"/>
    <col min="24" max="24" width="2.26953125" customWidth="1"/>
    <col min="25" max="25" width="3.54296875" customWidth="1"/>
    <col min="27" max="27" width="5.81640625" customWidth="1"/>
    <col min="29" max="29" width="7" customWidth="1"/>
    <col min="30" max="30" width="11" customWidth="1"/>
    <col min="31" max="31" width="2.26953125" customWidth="1"/>
    <col min="32" max="32" width="10.1796875" customWidth="1"/>
    <col min="33" max="33" width="0.54296875" customWidth="1"/>
    <col min="34" max="34" width="13.1796875" customWidth="1"/>
    <col min="35" max="35" width="14.1796875" customWidth="1"/>
    <col min="36" max="36" width="0.453125" customWidth="1"/>
    <col min="37" max="37" width="9" customWidth="1"/>
    <col min="38" max="38" width="14.26953125" customWidth="1"/>
    <col min="39" max="39" width="9.7265625" customWidth="1"/>
  </cols>
  <sheetData>
    <row r="1" spans="2:39" ht="15" thickBot="1" x14ac:dyDescent="0.4"/>
    <row r="2" spans="2:39" ht="16" thickBot="1" x14ac:dyDescent="0.4">
      <c r="B2" s="377" t="s">
        <v>131</v>
      </c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8"/>
      <c r="P2" s="378"/>
      <c r="Q2" s="378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9"/>
      <c r="AI2" s="108" t="s">
        <v>6</v>
      </c>
      <c r="AJ2" s="103"/>
      <c r="AK2" s="371" t="s">
        <v>176</v>
      </c>
      <c r="AL2" s="372"/>
      <c r="AM2" s="104"/>
    </row>
    <row r="3" spans="2:39" ht="15" thickBot="1" x14ac:dyDescent="0.4">
      <c r="B3" s="1"/>
      <c r="N3" s="345"/>
      <c r="O3" s="345"/>
      <c r="P3" s="345"/>
      <c r="Q3" s="345"/>
      <c r="R3" s="345"/>
      <c r="S3" s="345"/>
      <c r="T3" s="345"/>
      <c r="U3" s="345"/>
      <c r="V3" s="345"/>
      <c r="W3" s="345"/>
      <c r="AM3" s="2"/>
    </row>
    <row r="4" spans="2:39" ht="15.75" customHeight="1" thickBot="1" x14ac:dyDescent="0.4">
      <c r="B4" s="1"/>
      <c r="C4" s="109" t="s">
        <v>0</v>
      </c>
      <c r="F4" s="364" t="s">
        <v>7</v>
      </c>
      <c r="G4" s="373"/>
      <c r="H4" s="365"/>
      <c r="J4" s="109" t="s">
        <v>1</v>
      </c>
      <c r="L4" s="364" t="s">
        <v>7</v>
      </c>
      <c r="M4" s="365"/>
      <c r="P4" s="91" t="s">
        <v>2</v>
      </c>
      <c r="U4" s="120">
        <v>1</v>
      </c>
      <c r="Z4" t="s">
        <v>3</v>
      </c>
      <c r="AD4" s="120">
        <v>1</v>
      </c>
      <c r="AM4" s="2"/>
    </row>
    <row r="5" spans="2:39" ht="15" thickBot="1" x14ac:dyDescent="0.4">
      <c r="B5" s="1"/>
      <c r="AM5" s="2"/>
    </row>
    <row r="6" spans="2:39" ht="15" thickBot="1" x14ac:dyDescent="0.4">
      <c r="B6" s="1"/>
      <c r="C6" s="380" t="s">
        <v>5</v>
      </c>
      <c r="D6" s="381"/>
      <c r="E6" s="360" t="s">
        <v>290</v>
      </c>
      <c r="F6" s="361"/>
      <c r="H6" s="362" t="s">
        <v>149</v>
      </c>
      <c r="I6" s="363"/>
      <c r="J6" s="364">
        <v>1</v>
      </c>
      <c r="K6" s="365"/>
      <c r="M6" s="375" t="s">
        <v>152</v>
      </c>
      <c r="N6" s="376"/>
      <c r="O6" s="364">
        <v>70</v>
      </c>
      <c r="P6" s="365"/>
      <c r="S6" s="110" t="s">
        <v>171</v>
      </c>
      <c r="T6" s="2"/>
      <c r="W6" s="107">
        <v>1</v>
      </c>
      <c r="Y6" s="110" t="s">
        <v>174</v>
      </c>
      <c r="Z6" s="2"/>
      <c r="AD6" s="364">
        <v>70000</v>
      </c>
      <c r="AE6" s="373"/>
      <c r="AF6" s="365"/>
      <c r="AM6" s="2"/>
    </row>
    <row r="7" spans="2:39" ht="7.5" customHeight="1" x14ac:dyDescent="0.35">
      <c r="B7" s="1"/>
      <c r="C7" s="94"/>
      <c r="D7" s="94"/>
      <c r="E7" s="94"/>
      <c r="F7" s="94"/>
      <c r="AM7" s="2"/>
    </row>
    <row r="8" spans="2:39" ht="7.5" customHeight="1" x14ac:dyDescent="0.35">
      <c r="B8" s="1"/>
      <c r="C8" s="94"/>
      <c r="D8" s="94"/>
      <c r="E8" s="94"/>
      <c r="F8" s="94"/>
      <c r="P8" s="374"/>
      <c r="Q8" s="374"/>
      <c r="R8" s="374"/>
      <c r="S8" s="374"/>
      <c r="T8" s="374"/>
      <c r="U8" s="374"/>
      <c r="V8" s="374"/>
      <c r="W8" s="374"/>
      <c r="AM8" s="2"/>
    </row>
    <row r="9" spans="2:39" x14ac:dyDescent="0.35">
      <c r="B9" s="1"/>
      <c r="C9" s="94"/>
      <c r="D9" s="94"/>
      <c r="E9" s="94"/>
      <c r="F9" s="94"/>
      <c r="J9" t="s">
        <v>351</v>
      </c>
      <c r="L9" s="375" t="s">
        <v>20</v>
      </c>
      <c r="M9" s="375"/>
      <c r="N9" s="111"/>
      <c r="O9" s="375" t="s">
        <v>22</v>
      </c>
      <c r="P9" s="375"/>
      <c r="Q9" s="111"/>
      <c r="R9" s="375" t="s">
        <v>23</v>
      </c>
      <c r="S9" s="375"/>
      <c r="T9" s="111"/>
      <c r="U9" s="375" t="s">
        <v>39</v>
      </c>
      <c r="V9" s="375"/>
      <c r="W9" s="135"/>
      <c r="X9" s="135"/>
      <c r="AM9" s="2"/>
    </row>
    <row r="10" spans="2:39" ht="21.75" customHeight="1" x14ac:dyDescent="0.35">
      <c r="B10" s="1"/>
      <c r="J10" s="11" t="s">
        <v>288</v>
      </c>
      <c r="L10" s="385" t="s">
        <v>4</v>
      </c>
      <c r="M10" s="385"/>
      <c r="O10" s="385" t="s">
        <v>4</v>
      </c>
      <c r="P10" s="385"/>
      <c r="R10" s="385" t="s">
        <v>4</v>
      </c>
      <c r="S10" s="385"/>
      <c r="U10" s="385">
        <v>100</v>
      </c>
      <c r="V10" s="385"/>
      <c r="AM10" s="2"/>
    </row>
    <row r="11" spans="2:39" ht="23.25" customHeight="1" x14ac:dyDescent="0.35">
      <c r="B11" s="1"/>
      <c r="G11" s="366" t="s">
        <v>297</v>
      </c>
      <c r="H11" s="367"/>
      <c r="I11" s="367"/>
      <c r="J11" s="368" t="s">
        <v>297</v>
      </c>
      <c r="L11" s="366" t="s">
        <v>290</v>
      </c>
      <c r="M11" s="368"/>
      <c r="O11" s="366" t="s">
        <v>290</v>
      </c>
      <c r="P11" s="368"/>
      <c r="R11" s="366" t="s">
        <v>290</v>
      </c>
      <c r="S11" s="368"/>
      <c r="U11" s="366" t="s">
        <v>400</v>
      </c>
      <c r="V11" s="368"/>
      <c r="AM11" s="2"/>
    </row>
    <row r="12" spans="2:39" ht="23.25" customHeight="1" x14ac:dyDescent="0.35">
      <c r="B12" s="1"/>
      <c r="G12" s="366" t="s">
        <v>295</v>
      </c>
      <c r="H12" s="367"/>
      <c r="I12" s="367"/>
      <c r="J12" s="368" t="s">
        <v>296</v>
      </c>
      <c r="L12" s="384" t="str">
        <f>VLOOKUP(L9,'Fuel Factors'!$B$3:$J$41,9,FALSE)</f>
        <v>N/A</v>
      </c>
      <c r="M12" s="384"/>
      <c r="O12" s="384" t="str">
        <f>VLOOKUP(O9,'Fuel Factors'!$B$3:$J$41,9,FALSE)</f>
        <v>N/A</v>
      </c>
      <c r="P12" s="384"/>
      <c r="R12" s="384" t="str">
        <f>VLOOKUP(R9,'Fuel Factors'!$B$3:$J$41,9,FALSE)</f>
        <v>N/A</v>
      </c>
      <c r="S12" s="384"/>
      <c r="U12" s="384">
        <v>12</v>
      </c>
      <c r="V12" s="384"/>
      <c r="AM12" s="2"/>
    </row>
    <row r="13" spans="2:39" x14ac:dyDescent="0.35">
      <c r="B13" s="1"/>
      <c r="G13" s="356" t="s">
        <v>179</v>
      </c>
      <c r="H13" s="357"/>
      <c r="I13" s="357"/>
      <c r="J13" s="358"/>
      <c r="L13" s="370">
        <v>0</v>
      </c>
      <c r="M13" s="370"/>
      <c r="N13" s="7"/>
      <c r="O13" s="370">
        <v>0</v>
      </c>
      <c r="P13" s="370"/>
      <c r="Q13" s="7"/>
      <c r="R13" s="370">
        <v>0</v>
      </c>
      <c r="S13" s="370"/>
      <c r="T13" s="7"/>
      <c r="U13" s="370">
        <v>0</v>
      </c>
      <c r="V13" s="370"/>
      <c r="AD13" s="341" t="s">
        <v>345</v>
      </c>
      <c r="AE13" s="342"/>
      <c r="AF13" s="342"/>
      <c r="AG13" s="342"/>
      <c r="AH13" s="343"/>
      <c r="AI13" s="102" t="e">
        <f>'Back end calculation'!D55</f>
        <v>#DIV/0!</v>
      </c>
      <c r="AM13" s="2"/>
    </row>
    <row r="14" spans="2:39" ht="4" customHeight="1" x14ac:dyDescent="0.35">
      <c r="B14" s="1"/>
      <c r="AM14" s="2"/>
    </row>
    <row r="15" spans="2:39" ht="15" customHeight="1" x14ac:dyDescent="0.35">
      <c r="B15" s="1"/>
      <c r="G15" s="356" t="s">
        <v>180</v>
      </c>
      <c r="H15" s="357"/>
      <c r="I15" s="357"/>
      <c r="J15" s="358"/>
      <c r="L15" s="370">
        <v>0</v>
      </c>
      <c r="M15" s="370"/>
      <c r="N15" s="7"/>
      <c r="O15" s="370">
        <v>0</v>
      </c>
      <c r="P15" s="370"/>
      <c r="Q15" s="7"/>
      <c r="R15" s="370">
        <v>0</v>
      </c>
      <c r="S15" s="370"/>
      <c r="T15" s="7"/>
      <c r="U15" s="370">
        <v>0</v>
      </c>
      <c r="V15" s="370"/>
      <c r="AM15" s="2"/>
    </row>
    <row r="16" spans="2:39" ht="4" customHeight="1" x14ac:dyDescent="0.35">
      <c r="B16" s="1"/>
      <c r="AM16" s="2"/>
    </row>
    <row r="17" spans="2:45" ht="16.5" customHeight="1" x14ac:dyDescent="0.45">
      <c r="B17" s="1"/>
      <c r="G17" s="341" t="s">
        <v>181</v>
      </c>
      <c r="H17" s="342"/>
      <c r="I17" s="342"/>
      <c r="J17" s="343"/>
      <c r="L17" s="370">
        <f>(L13*U4)+(L15*AD4)</f>
        <v>0</v>
      </c>
      <c r="M17" s="370"/>
      <c r="N17" s="7"/>
      <c r="O17" s="370">
        <f>(O13*U4)+(O15*AD4)</f>
        <v>0</v>
      </c>
      <c r="P17" s="370"/>
      <c r="Q17" s="7"/>
      <c r="R17" s="370">
        <f>(R13*U4)+(R15*AD4)</f>
        <v>0</v>
      </c>
      <c r="S17" s="370"/>
      <c r="T17" s="7"/>
      <c r="U17" s="370">
        <f>(U13*U4)+(U15*AD4)</f>
        <v>0</v>
      </c>
      <c r="V17" s="370"/>
      <c r="AD17" s="345" t="s">
        <v>346</v>
      </c>
      <c r="AE17" s="345"/>
      <c r="AF17" s="345"/>
      <c r="AH17" s="345" t="s">
        <v>162</v>
      </c>
      <c r="AI17" s="345"/>
      <c r="AK17" s="359" t="s">
        <v>177</v>
      </c>
      <c r="AL17" s="359"/>
      <c r="AM17" s="2"/>
    </row>
    <row r="18" spans="2:45" ht="4" customHeight="1" x14ac:dyDescent="0.35">
      <c r="B18" s="1"/>
      <c r="AM18" s="2"/>
    </row>
    <row r="19" spans="2:45" ht="15" customHeight="1" x14ac:dyDescent="0.35">
      <c r="B19" s="1"/>
      <c r="G19" s="356" t="s">
        <v>165</v>
      </c>
      <c r="H19" s="357"/>
      <c r="I19" s="357"/>
      <c r="J19" s="358"/>
      <c r="L19" s="370">
        <v>586</v>
      </c>
      <c r="M19" s="370"/>
      <c r="N19" s="7"/>
      <c r="O19" s="370">
        <v>710</v>
      </c>
      <c r="P19" s="370"/>
      <c r="Q19" s="7"/>
      <c r="R19" s="370">
        <v>784</v>
      </c>
      <c r="S19" s="370"/>
      <c r="T19" s="7"/>
      <c r="U19" s="370">
        <v>800</v>
      </c>
      <c r="V19" s="370"/>
      <c r="AA19" s="341">
        <v>2025</v>
      </c>
      <c r="AB19" s="343"/>
      <c r="AD19" s="350">
        <f>'Back end calculation'!D57</f>
        <v>89.336799999999997</v>
      </c>
      <c r="AE19" s="350"/>
      <c r="AF19" s="350"/>
      <c r="AH19" s="351" t="e">
        <f>VLOOKUP(AA19,'Back end calculation'!C108:G133,2,FALSE)</f>
        <v>#DIV/0!</v>
      </c>
      <c r="AI19" s="351"/>
      <c r="AK19" s="349" t="e">
        <f>VLOOKUP(AA19,'Back end calculation'!C108:G133,5,FALSE)</f>
        <v>#DIV/0!</v>
      </c>
      <c r="AL19" s="349"/>
      <c r="AM19" s="2"/>
      <c r="AN19" s="382" t="s">
        <v>343</v>
      </c>
      <c r="AO19" s="383"/>
      <c r="AP19" s="383"/>
      <c r="AQ19" s="383"/>
      <c r="AR19" s="383"/>
      <c r="AS19" s="383"/>
    </row>
    <row r="20" spans="2:45" ht="4" customHeight="1" x14ac:dyDescent="0.35">
      <c r="B20" s="1"/>
      <c r="AD20" s="105"/>
      <c r="AE20" s="105"/>
      <c r="AH20" s="106"/>
      <c r="AI20" s="106"/>
      <c r="AK20" s="113"/>
      <c r="AL20" s="113"/>
      <c r="AM20" s="2"/>
      <c r="AN20" s="382"/>
      <c r="AO20" s="383"/>
      <c r="AP20" s="383"/>
      <c r="AQ20" s="383"/>
      <c r="AR20" s="383"/>
      <c r="AS20" s="383"/>
    </row>
    <row r="21" spans="2:45" ht="15" customHeight="1" x14ac:dyDescent="0.35">
      <c r="B21" s="1"/>
      <c r="G21" s="341" t="s">
        <v>182</v>
      </c>
      <c r="H21" s="342"/>
      <c r="I21" s="342"/>
      <c r="J21" s="343"/>
      <c r="L21" s="369">
        <f>VLOOKUP(L9,'Fuel Factors'!$B$3:$I$41,5,FALSE)</f>
        <v>3.1139999999999999</v>
      </c>
      <c r="M21" s="369"/>
      <c r="N21" s="112"/>
      <c r="O21" s="369">
        <f>VLOOKUP(O9,'Fuel Factors'!$B$3:$I$41,5,FALSE)</f>
        <v>3.1509999999999998</v>
      </c>
      <c r="P21" s="369"/>
      <c r="Q21" s="112"/>
      <c r="R21" s="369">
        <f>VLOOKUP(R9,'Fuel Factors'!$B$3:$I$41,5,FALSE)</f>
        <v>3.206</v>
      </c>
      <c r="S21" s="369"/>
      <c r="T21" s="112"/>
      <c r="U21" s="369">
        <f>VLOOKUP(U9,'Fuel Factors'!$B$3:$I$41,5,FALSE)</f>
        <v>2.8340000000000001</v>
      </c>
      <c r="V21" s="369"/>
      <c r="AA21" s="341">
        <v>2030</v>
      </c>
      <c r="AB21" s="343"/>
      <c r="AD21" s="350">
        <f>'Back end calculation'!D58</f>
        <v>85.690399999999997</v>
      </c>
      <c r="AE21" s="350"/>
      <c r="AF21" s="350"/>
      <c r="AH21" s="351" t="e">
        <f>VLOOKUP(AA21,'Back end calculation'!C110:G135,2,FALSE)</f>
        <v>#DIV/0!</v>
      </c>
      <c r="AI21" s="351"/>
      <c r="AK21" s="349" t="e">
        <f>VLOOKUP(AA21,'Back end calculation'!C110:G135,5,FALSE)</f>
        <v>#DIV/0!</v>
      </c>
      <c r="AL21" s="349"/>
      <c r="AM21" s="2"/>
      <c r="AN21" s="382"/>
      <c r="AO21" s="383"/>
      <c r="AP21" s="383"/>
      <c r="AQ21" s="383"/>
      <c r="AR21" s="383"/>
      <c r="AS21" s="383"/>
    </row>
    <row r="22" spans="2:45" ht="4" customHeight="1" x14ac:dyDescent="0.35">
      <c r="B22" s="1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AD22" s="105"/>
      <c r="AE22" s="105"/>
      <c r="AH22" s="106"/>
      <c r="AI22" s="106"/>
      <c r="AK22" s="113"/>
      <c r="AL22" s="113"/>
      <c r="AM22" s="2"/>
      <c r="AN22" s="382"/>
      <c r="AO22" s="383"/>
      <c r="AP22" s="383"/>
      <c r="AQ22" s="383"/>
      <c r="AR22" s="383"/>
      <c r="AS22" s="383"/>
    </row>
    <row r="23" spans="2:45" ht="16.5" customHeight="1" x14ac:dyDescent="0.35">
      <c r="B23" s="1"/>
      <c r="G23" s="341" t="s">
        <v>136</v>
      </c>
      <c r="H23" s="342"/>
      <c r="I23" s="342"/>
      <c r="J23" s="343"/>
      <c r="L23" s="369">
        <f>L21+((VLOOKUP(L9,'Fuel Factors'!$B$3:$L$41,6,FALSE))*'Back end calculation'!$G$32)+((VLOOKUP(L9,'Fuel Factors'!$B$3:$L$41,7,FALSE))*'Back end calculation'!$G$33)</f>
        <v>3.1688900000000002</v>
      </c>
      <c r="M23" s="369"/>
      <c r="N23" s="112"/>
      <c r="O23" s="369">
        <f>O21+((VLOOKUP(O9,'Fuel Factors'!$B$3:$L$41,6,FALSE))*'Back end calculation'!$G$32)+((VLOOKUP(O9,'Fuel Factors'!$B$3:$L$41,7,FALSE))*'Back end calculation'!$G$33)</f>
        <v>3.2058900000000001</v>
      </c>
      <c r="P23" s="369"/>
      <c r="Q23" s="112"/>
      <c r="R23" s="369">
        <f>R21+((VLOOKUP(R9,'Fuel Factors'!$B$3:$L$41,6,FALSE))*'Back end calculation'!$G$32)+((VLOOKUP(R9,'Fuel Factors'!$B$3:$L$41,7,FALSE))*'Back end calculation'!$G$33)</f>
        <v>3.2608900000000003</v>
      </c>
      <c r="S23" s="369"/>
      <c r="T23" s="112"/>
      <c r="U23" s="369">
        <f>U21+((VLOOKUP(U9,'Fuel Factors'!$B$3:$L$41,6,FALSE))*'Back end calculation'!$G$32)+((VLOOKUP(U9,'Fuel Factors'!$B$3:$L$41,7,FALSE))*'Back end calculation'!$G$33)</f>
        <v>2.8888900000000004</v>
      </c>
      <c r="V23" s="369"/>
      <c r="AA23" s="341">
        <v>2035</v>
      </c>
      <c r="AB23" s="343"/>
      <c r="AD23" s="350">
        <f>'Back end calculation'!D59</f>
        <v>77.941800000000001</v>
      </c>
      <c r="AE23" s="350"/>
      <c r="AF23" s="350"/>
      <c r="AH23" s="351" t="e">
        <f>VLOOKUP(AA23,'Back end calculation'!C112:G137,2,FALSE)</f>
        <v>#DIV/0!</v>
      </c>
      <c r="AI23" s="351"/>
      <c r="AK23" s="349" t="e">
        <f>VLOOKUP(AA23,'Back end calculation'!C112:G137,5,FALSE)</f>
        <v>#DIV/0!</v>
      </c>
      <c r="AL23" s="349"/>
      <c r="AM23" s="2"/>
      <c r="AN23" s="382"/>
      <c r="AO23" s="383"/>
      <c r="AP23" s="383"/>
      <c r="AQ23" s="383"/>
      <c r="AR23" s="383"/>
      <c r="AS23" s="383"/>
    </row>
    <row r="24" spans="2:45" ht="4" customHeight="1" x14ac:dyDescent="0.35">
      <c r="B24" s="1"/>
      <c r="AD24" s="105"/>
      <c r="AE24" s="105"/>
      <c r="AH24" s="106"/>
      <c r="AI24" s="106"/>
      <c r="AK24" s="113"/>
      <c r="AL24" s="113"/>
      <c r="AM24" s="2"/>
      <c r="AN24" s="382"/>
      <c r="AO24" s="383"/>
      <c r="AP24" s="383"/>
      <c r="AQ24" s="383"/>
      <c r="AR24" s="383"/>
      <c r="AS24" s="383"/>
    </row>
    <row r="25" spans="2:45" ht="15" customHeight="1" x14ac:dyDescent="0.35">
      <c r="B25" s="1"/>
      <c r="G25" s="341" t="s">
        <v>137</v>
      </c>
      <c r="H25" s="342"/>
      <c r="I25" s="342"/>
      <c r="J25" s="343"/>
      <c r="L25" s="350">
        <f>VLOOKUP(L9,'Fuel Factors'!$B$3:$I$41,3,FALSE)</f>
        <v>13.5</v>
      </c>
      <c r="M25" s="350"/>
      <c r="N25" s="7"/>
      <c r="O25" s="350">
        <f>VLOOKUP(O9,'Fuel Factors'!$B$3:$I$41,3,FALSE)</f>
        <v>13.2</v>
      </c>
      <c r="P25" s="350"/>
      <c r="Q25" s="7"/>
      <c r="R25" s="350">
        <f>VLOOKUP(R9,'Fuel Factors'!$B$3:$I$41,3,FALSE)</f>
        <v>14.4</v>
      </c>
      <c r="S25" s="350"/>
      <c r="T25" s="7"/>
      <c r="U25" s="350">
        <f>VLOOKUP(U9,'Fuel Factors'!$B$3:$I$41,3,FALSE)</f>
        <v>-42.054594594594597</v>
      </c>
      <c r="V25" s="350"/>
      <c r="AA25" s="341">
        <v>2040</v>
      </c>
      <c r="AB25" s="343"/>
      <c r="AD25" s="350">
        <f>'Back end calculation'!D60</f>
        <v>62.900399999999991</v>
      </c>
      <c r="AE25" s="350"/>
      <c r="AF25" s="350"/>
      <c r="AH25" s="351" t="e">
        <f>VLOOKUP(AA25,'Back end calculation'!C114:G139,2,FALSE)</f>
        <v>#DIV/0!</v>
      </c>
      <c r="AI25" s="351"/>
      <c r="AK25" s="349" t="e">
        <f>VLOOKUP(AA25,'Back end calculation'!C114:G139,5,FALSE)</f>
        <v>#DIV/0!</v>
      </c>
      <c r="AL25" s="349"/>
      <c r="AM25" s="2"/>
      <c r="AN25" s="382"/>
      <c r="AO25" s="383"/>
      <c r="AP25" s="383"/>
      <c r="AQ25" s="383"/>
      <c r="AR25" s="383"/>
      <c r="AS25" s="383"/>
    </row>
    <row r="26" spans="2:45" ht="4" customHeight="1" x14ac:dyDescent="0.35">
      <c r="B26" s="1"/>
      <c r="AD26" s="105"/>
      <c r="AE26" s="105"/>
      <c r="AH26" s="106"/>
      <c r="AI26" s="106"/>
      <c r="AK26" s="113"/>
      <c r="AL26" s="113"/>
      <c r="AM26" s="2"/>
      <c r="AN26" s="382"/>
      <c r="AO26" s="383"/>
      <c r="AP26" s="383"/>
      <c r="AQ26" s="383"/>
      <c r="AR26" s="383"/>
      <c r="AS26" s="383"/>
    </row>
    <row r="27" spans="2:45" ht="16.5" customHeight="1" x14ac:dyDescent="0.35">
      <c r="B27" s="1"/>
      <c r="G27" s="341" t="s">
        <v>299</v>
      </c>
      <c r="H27" s="342"/>
      <c r="I27" s="342"/>
      <c r="J27" s="343"/>
      <c r="L27" s="355">
        <f>VLOOKUP(L9,'Fuel Factors'!$B$3:$I$41,2,FALSE)</f>
        <v>4.0500000000000001E-2</v>
      </c>
      <c r="M27" s="355"/>
      <c r="N27" s="112"/>
      <c r="O27" s="355">
        <f>VLOOKUP(O9,'Fuel Factors'!$B$3:$I$41,2,FALSE)</f>
        <v>4.1000000000000002E-2</v>
      </c>
      <c r="P27" s="355"/>
      <c r="Q27" s="112"/>
      <c r="R27" s="355">
        <f>VLOOKUP(R9,'Fuel Factors'!$B$3:$I$41,2,FALSE)</f>
        <v>4.2700000000000002E-2</v>
      </c>
      <c r="S27" s="355"/>
      <c r="T27" s="112"/>
      <c r="U27" s="355">
        <f>VLOOKUP(U9,'Fuel Factors'!$B$3:$I$41,2,FALSE)</f>
        <v>3.6999999999999998E-2</v>
      </c>
      <c r="V27" s="355"/>
      <c r="AA27" s="341">
        <v>2045</v>
      </c>
      <c r="AB27" s="343"/>
      <c r="AD27" s="350">
        <f>'Back end calculation'!D61</f>
        <v>34.640799999999999</v>
      </c>
      <c r="AE27" s="350"/>
      <c r="AF27" s="350"/>
      <c r="AH27" s="351" t="e">
        <f>VLOOKUP(AA27,'Back end calculation'!C116:G141,2,FALSE)</f>
        <v>#DIV/0!</v>
      </c>
      <c r="AI27" s="351"/>
      <c r="AK27" s="349" t="e">
        <f>VLOOKUP(AA27,'Back end calculation'!C116:G141,5,FALSE)</f>
        <v>#DIV/0!</v>
      </c>
      <c r="AL27" s="349"/>
      <c r="AM27" s="2"/>
      <c r="AN27" s="382"/>
      <c r="AO27" s="383"/>
      <c r="AP27" s="383"/>
      <c r="AQ27" s="383"/>
      <c r="AR27" s="383"/>
      <c r="AS27" s="383"/>
    </row>
    <row r="28" spans="2:45" ht="4" customHeight="1" x14ac:dyDescent="0.35">
      <c r="B28" s="1"/>
      <c r="AD28" s="105"/>
      <c r="AE28" s="105"/>
      <c r="AH28" s="106"/>
      <c r="AI28" s="106"/>
      <c r="AK28" s="113"/>
      <c r="AL28" s="113"/>
      <c r="AM28" s="2"/>
      <c r="AN28" s="382"/>
      <c r="AO28" s="383"/>
      <c r="AP28" s="383"/>
      <c r="AQ28" s="383"/>
      <c r="AR28" s="383"/>
      <c r="AS28" s="383"/>
    </row>
    <row r="29" spans="2:45" ht="16.5" customHeight="1" x14ac:dyDescent="0.35">
      <c r="B29" s="1"/>
      <c r="G29" s="341" t="s">
        <v>150</v>
      </c>
      <c r="H29" s="342"/>
      <c r="I29" s="342"/>
      <c r="J29" s="343"/>
      <c r="L29" s="370">
        <v>1</v>
      </c>
      <c r="M29" s="370"/>
      <c r="N29" s="7"/>
      <c r="O29" s="370">
        <v>1</v>
      </c>
      <c r="P29" s="370"/>
      <c r="Q29" s="7"/>
      <c r="R29" s="370">
        <v>1</v>
      </c>
      <c r="S29" s="370"/>
      <c r="T29" s="7"/>
      <c r="U29" s="370">
        <v>1</v>
      </c>
      <c r="V29" s="370"/>
      <c r="AA29" s="341">
        <v>2050</v>
      </c>
      <c r="AB29" s="343"/>
      <c r="AD29" s="350">
        <f>'Back end calculation'!D62</f>
        <v>18.231999999999999</v>
      </c>
      <c r="AE29" s="350"/>
      <c r="AF29" s="350"/>
      <c r="AH29" s="351" t="e">
        <f>VLOOKUP(AA29,'Back end calculation'!C118:G143,2,FALSE)</f>
        <v>#DIV/0!</v>
      </c>
      <c r="AI29" s="351"/>
      <c r="AK29" s="349" t="e">
        <f>VLOOKUP(AA29,'Back end calculation'!C118:G143,5,FALSE)</f>
        <v>#DIV/0!</v>
      </c>
      <c r="AL29" s="349"/>
      <c r="AM29" s="2"/>
      <c r="AN29" s="382"/>
      <c r="AO29" s="383"/>
      <c r="AP29" s="383"/>
      <c r="AQ29" s="383"/>
      <c r="AR29" s="383"/>
      <c r="AS29" s="383"/>
    </row>
    <row r="30" spans="2:45" x14ac:dyDescent="0.35">
      <c r="B30" s="1"/>
      <c r="AM30" s="2"/>
    </row>
    <row r="31" spans="2:45" x14ac:dyDescent="0.35">
      <c r="B31" s="1"/>
      <c r="G31" s="356" t="s">
        <v>215</v>
      </c>
      <c r="H31" s="357"/>
      <c r="I31" s="357"/>
      <c r="J31" s="358"/>
      <c r="L31" s="121">
        <v>0</v>
      </c>
      <c r="M31" s="123"/>
      <c r="O31" s="344" t="s">
        <v>385</v>
      </c>
      <c r="P31" s="344"/>
      <c r="R31" s="226">
        <v>0</v>
      </c>
      <c r="AM31" s="2"/>
    </row>
    <row r="32" spans="2:45" x14ac:dyDescent="0.35">
      <c r="B32" s="1"/>
      <c r="AM32" s="2"/>
    </row>
    <row r="33" spans="2:39" ht="15" thickBot="1" x14ac:dyDescent="0.4">
      <c r="B33" s="1"/>
      <c r="AM33" s="2"/>
    </row>
    <row r="34" spans="2:39" ht="15" thickBot="1" x14ac:dyDescent="0.4">
      <c r="B34" s="1"/>
      <c r="I34" s="352" t="s">
        <v>304</v>
      </c>
      <c r="J34" s="353"/>
      <c r="K34" s="212"/>
      <c r="L34" s="352">
        <v>2025</v>
      </c>
      <c r="M34" s="354"/>
      <c r="O34" s="345"/>
      <c r="P34" s="345"/>
      <c r="AM34" s="2"/>
    </row>
    <row r="35" spans="2:39" x14ac:dyDescent="0.35">
      <c r="B35" s="1"/>
      <c r="AM35" s="2"/>
    </row>
    <row r="36" spans="2:39" x14ac:dyDescent="0.35">
      <c r="B36" s="1"/>
      <c r="G36" s="341" t="s">
        <v>164</v>
      </c>
      <c r="H36" s="342"/>
      <c r="I36" s="342"/>
      <c r="J36" s="343"/>
      <c r="L36" s="121">
        <f>((L13-(L13*R31)+L15)*(L19))+((O13-(O13*R31)+O15)*(O19))+((R13-(R13*R31)+R15)*(R19))+((U13-(U13*R31)+U15)*(U19))</f>
        <v>0</v>
      </c>
      <c r="M36" s="121"/>
      <c r="X36" s="115"/>
      <c r="AM36" s="2"/>
    </row>
    <row r="37" spans="2:39" x14ac:dyDescent="0.35">
      <c r="B37" s="1"/>
      <c r="AM37" s="2"/>
    </row>
    <row r="38" spans="2:39" x14ac:dyDescent="0.35">
      <c r="B38" s="1"/>
      <c r="G38" s="341" t="s">
        <v>166</v>
      </c>
      <c r="H38" s="342"/>
      <c r="I38" s="342"/>
      <c r="J38" s="343"/>
      <c r="L38" s="121">
        <f>IF(L34=2025,('Back end calculation'!D100)*W6,('Back end calculation'!E100)*W6)</f>
        <v>0</v>
      </c>
      <c r="M38" s="121"/>
      <c r="V38" s="7"/>
      <c r="W38" s="7"/>
      <c r="X38" s="115"/>
      <c r="AM38" s="2"/>
    </row>
    <row r="39" spans="2:39" x14ac:dyDescent="0.35">
      <c r="B39" s="1"/>
      <c r="R39" s="7"/>
      <c r="S39" s="7"/>
      <c r="T39" s="7"/>
      <c r="V39" s="7"/>
      <c r="W39" s="7"/>
      <c r="AM39" s="2"/>
    </row>
    <row r="40" spans="2:39" x14ac:dyDescent="0.35">
      <c r="B40" s="1"/>
      <c r="G40" s="341" t="s">
        <v>163</v>
      </c>
      <c r="H40" s="342"/>
      <c r="I40" s="342"/>
      <c r="J40" s="343"/>
      <c r="L40" s="122" t="e">
        <f>IF((VLOOKUP(L34,'Back end calculation'!C108:G133,5,FALSE))&gt;0,ABS(VLOOKUP(L34,'Back end calculation'!C108:G133,5,FALSE)),0)</f>
        <v>#DIV/0!</v>
      </c>
      <c r="M40" s="121"/>
      <c r="R40" s="7"/>
      <c r="S40" s="7"/>
      <c r="T40" s="7"/>
      <c r="V40" s="7"/>
      <c r="W40" s="7"/>
      <c r="AM40" s="2"/>
    </row>
    <row r="41" spans="2:39" ht="18" customHeight="1" x14ac:dyDescent="0.35">
      <c r="B41" s="1"/>
      <c r="R41" s="7"/>
      <c r="S41" s="7"/>
      <c r="T41" s="7"/>
      <c r="V41" s="7"/>
      <c r="W41" s="7"/>
      <c r="AM41" s="2"/>
    </row>
    <row r="42" spans="2:39" x14ac:dyDescent="0.35">
      <c r="B42" s="1"/>
      <c r="G42" s="341" t="s">
        <v>178</v>
      </c>
      <c r="H42" s="342"/>
      <c r="I42" s="342"/>
      <c r="J42" s="343"/>
      <c r="L42" s="121" t="e">
        <f>IF((VLOOKUP(L34,'Back end calculation'!C108:G133,5,FALSE))&lt;0,ABS(VLOOKUP(L34,'Back end calculation'!C108:G133,5,FALSE)),0)</f>
        <v>#DIV/0!</v>
      </c>
      <c r="M42" s="121"/>
      <c r="R42" s="7"/>
      <c r="S42" s="7"/>
      <c r="T42" s="7"/>
      <c r="V42" s="7"/>
      <c r="W42" s="7"/>
      <c r="AM42" s="2"/>
    </row>
    <row r="43" spans="2:39" x14ac:dyDescent="0.35">
      <c r="B43" s="1"/>
      <c r="R43" s="7"/>
      <c r="S43" s="7"/>
      <c r="T43" s="7"/>
      <c r="V43" s="7"/>
      <c r="W43" s="7"/>
      <c r="AM43" s="2"/>
    </row>
    <row r="44" spans="2:39" ht="15" customHeight="1" thickBot="1" x14ac:dyDescent="0.4">
      <c r="B44" s="1"/>
      <c r="G44" s="341" t="s">
        <v>167</v>
      </c>
      <c r="H44" s="342"/>
      <c r="I44" s="342"/>
      <c r="J44" s="343"/>
      <c r="L44" s="121" t="e">
        <f>L31+L40+L38+L36-L42</f>
        <v>#DIV/0!</v>
      </c>
      <c r="M44" s="121"/>
      <c r="R44" s="7"/>
      <c r="S44" s="7"/>
      <c r="T44" s="7"/>
      <c r="X44" s="115"/>
      <c r="AM44" s="2"/>
    </row>
    <row r="45" spans="2:39" ht="16" thickBot="1" x14ac:dyDescent="0.4">
      <c r="B45" s="1"/>
      <c r="C45" s="346" t="s">
        <v>186</v>
      </c>
      <c r="D45" s="347"/>
      <c r="E45" s="348"/>
      <c r="R45" s="7"/>
      <c r="S45" s="7"/>
      <c r="T45" s="7"/>
      <c r="AM45" s="2"/>
    </row>
    <row r="46" spans="2:39" ht="15" customHeight="1" x14ac:dyDescent="0.35">
      <c r="B46" s="1"/>
      <c r="G46" s="341" t="s">
        <v>175</v>
      </c>
      <c r="H46" s="342"/>
      <c r="I46" s="342"/>
      <c r="J46" s="343"/>
      <c r="L46" s="122" t="e">
        <f>L44/AD6</f>
        <v>#DIV/0!</v>
      </c>
      <c r="M46" s="122"/>
      <c r="AM46" s="2"/>
    </row>
    <row r="47" spans="2:39" x14ac:dyDescent="0.35">
      <c r="B47" s="1"/>
      <c r="AM47" s="2"/>
    </row>
    <row r="48" spans="2:39" ht="15.75" customHeight="1" thickBot="1" x14ac:dyDescent="0.4">
      <c r="B48" s="1"/>
      <c r="C48" t="s">
        <v>361</v>
      </c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M48" s="2"/>
    </row>
    <row r="49" spans="2:39" ht="15" thickBot="1" x14ac:dyDescent="0.4">
      <c r="B49" s="1"/>
      <c r="C49" t="s">
        <v>328</v>
      </c>
      <c r="D49" s="272" t="s">
        <v>39</v>
      </c>
      <c r="G49" t="s">
        <v>329</v>
      </c>
      <c r="I49" s="272">
        <v>30</v>
      </c>
      <c r="L49" t="s">
        <v>330</v>
      </c>
      <c r="M49" s="297" t="s">
        <v>400</v>
      </c>
      <c r="P49" s="334" t="s">
        <v>331</v>
      </c>
      <c r="R49" s="335" t="e">
        <f>IF(L42&gt;0,"N/A",IF('Back end calculation'!W55&gt;'Back end calculation'!W57,"Actual GHG Intensity is more than Target GHG Intensity for the Selected Year consider change of fuel grade to ensure compliance.",'Back end calculation'!W5))</f>
        <v>#DIV/0!</v>
      </c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M49" s="2"/>
    </row>
    <row r="50" spans="2:39" ht="15" thickBot="1" x14ac:dyDescent="0.4">
      <c r="B50" s="1"/>
      <c r="C50" t="s">
        <v>295</v>
      </c>
      <c r="D50" s="302">
        <f>VLOOKUP(D49,'Fuel Factors'!$B$3:$J$41,9,FALSE)</f>
        <v>34.54</v>
      </c>
      <c r="G50" t="s">
        <v>300</v>
      </c>
      <c r="I50" s="303">
        <f>VLOOKUP(D49,'Fuel Factors'!$B$3:$I$41,2,FALSE)</f>
        <v>3.6999999999999998E-2</v>
      </c>
      <c r="L50" t="s">
        <v>150</v>
      </c>
      <c r="M50" s="189">
        <v>1</v>
      </c>
      <c r="R50" s="298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M50" s="2"/>
    </row>
    <row r="51" spans="2:39" ht="15" thickBot="1" x14ac:dyDescent="0.4">
      <c r="B51" s="1"/>
      <c r="C51" t="s">
        <v>165</v>
      </c>
      <c r="D51" s="272">
        <v>800</v>
      </c>
      <c r="G51" t="s">
        <v>354</v>
      </c>
      <c r="I51" s="338" t="e">
        <f>IF('Back end calculation'!W5&gt;0,D51*R49,"N/A")</f>
        <v>#DIV/0!</v>
      </c>
      <c r="L51" t="s">
        <v>355</v>
      </c>
      <c r="M51" s="339">
        <f>IF('Back end calculation'!W5&gt;0,'Back end calculation'!F100*$W$6,"N/A")</f>
        <v>429233.40769368934</v>
      </c>
      <c r="P51" t="s">
        <v>362</v>
      </c>
      <c r="R51" s="339" t="e">
        <f>IF('Back end calculation'!W5&gt;0,(L31+L36+L38+I51+M51),"N/A")</f>
        <v>#DIV/0!</v>
      </c>
      <c r="V51" s="105"/>
      <c r="AM51" s="2"/>
    </row>
    <row r="52" spans="2:39" x14ac:dyDescent="0.35">
      <c r="B52" s="1"/>
      <c r="M52" s="115"/>
      <c r="R52" s="115"/>
      <c r="V52" s="105"/>
      <c r="AM52" s="2"/>
    </row>
    <row r="53" spans="2:39" ht="15" thickBot="1" x14ac:dyDescent="0.4">
      <c r="B53" s="1"/>
      <c r="C53" t="e">
        <f>CONCATENATE("If ",M49," = ",FIXED(R49,2)," MT was used instead of the compensated Biofuel ",D49," - ","B ",I49,M49,", the total exposure would be,")</f>
        <v>#DIV/0!</v>
      </c>
      <c r="M53" s="115"/>
      <c r="R53" s="115"/>
      <c r="V53" s="105"/>
      <c r="AM53" s="2"/>
    </row>
    <row r="54" spans="2:39" ht="15" thickBot="1" x14ac:dyDescent="0.4">
      <c r="B54" s="1"/>
      <c r="C54" s="299" t="s">
        <v>353</v>
      </c>
      <c r="D54" s="302" t="e">
        <f>IF('Back end calculation'!W5&gt;0,R49,"N/A")</f>
        <v>#DIV/0!</v>
      </c>
      <c r="F54" t="s">
        <v>354</v>
      </c>
      <c r="I54" s="300" t="e">
        <f>IF('Back end calculation'!W5&gt;0,D54*D55,"N/A")</f>
        <v>#DIV/0!</v>
      </c>
      <c r="L54" t="s">
        <v>364</v>
      </c>
      <c r="M54" s="300" t="e">
        <f>IF('Back end calculation'!W5&gt;0,I55-R51,"N/A")</f>
        <v>#DIV/0!</v>
      </c>
      <c r="R54" s="115"/>
      <c r="V54" s="105"/>
      <c r="AM54" s="2"/>
    </row>
    <row r="55" spans="2:39" ht="15" thickBot="1" x14ac:dyDescent="0.4">
      <c r="B55" s="1"/>
      <c r="C55" t="s">
        <v>165</v>
      </c>
      <c r="D55">
        <v>500</v>
      </c>
      <c r="F55" t="s">
        <v>363</v>
      </c>
      <c r="I55" s="300" t="e">
        <f>IF('Back end calculation'!W5&gt;0,(L31+L36+I54+('Back end calculation'!G100*W6)+'Back end calculation'!AA60),"N/A")</f>
        <v>#DIV/0!</v>
      </c>
      <c r="L55" t="s">
        <v>356</v>
      </c>
      <c r="M55" s="301" t="e">
        <f>IF('Back end calculation'!W5&gt;0,(M54/I55),"N/A")</f>
        <v>#DIV/0!</v>
      </c>
      <c r="R55" s="115" t="s">
        <v>429</v>
      </c>
      <c r="V55" s="105"/>
      <c r="AM55" s="2"/>
    </row>
    <row r="56" spans="2:39" x14ac:dyDescent="0.35">
      <c r="B56" s="1"/>
      <c r="M56" s="115"/>
      <c r="R56" s="115"/>
      <c r="V56" s="115"/>
      <c r="AM56" s="2"/>
    </row>
    <row r="57" spans="2:39" ht="15" customHeight="1" thickBot="1" x14ac:dyDescent="0.4">
      <c r="B57" s="3"/>
      <c r="C57" s="4"/>
      <c r="D57" s="260" t="s">
        <v>298</v>
      </c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5"/>
    </row>
    <row r="58" spans="2:39" ht="15" customHeight="1" x14ac:dyDescent="0.35"/>
    <row r="59" spans="2:39" ht="15" customHeight="1" thickBot="1" x14ac:dyDescent="0.4">
      <c r="X59" s="97"/>
    </row>
    <row r="60" spans="2:39" ht="15" thickBot="1" x14ac:dyDescent="0.4">
      <c r="C60" s="280" t="s">
        <v>349</v>
      </c>
      <c r="D60" s="281">
        <v>0</v>
      </c>
      <c r="X60" s="97"/>
    </row>
    <row r="61" spans="2:39" ht="20.149999999999999" customHeight="1" thickBot="1" x14ac:dyDescent="0.4">
      <c r="D61" t="s">
        <v>374</v>
      </c>
      <c r="E61" t="s">
        <v>372</v>
      </c>
      <c r="F61" t="s">
        <v>373</v>
      </c>
      <c r="G61" t="s">
        <v>398</v>
      </c>
      <c r="I61" s="261" t="s">
        <v>376</v>
      </c>
      <c r="J61" s="261" t="s">
        <v>329</v>
      </c>
      <c r="K61" s="261" t="s">
        <v>377</v>
      </c>
      <c r="L61" s="189" t="s">
        <v>295</v>
      </c>
      <c r="M61" s="272" t="s">
        <v>299</v>
      </c>
      <c r="N61" s="278" t="s">
        <v>165</v>
      </c>
      <c r="O61" s="272" t="s">
        <v>399</v>
      </c>
      <c r="S61" s="272" t="s">
        <v>379</v>
      </c>
      <c r="T61" t="s">
        <v>384</v>
      </c>
      <c r="U61" s="272" t="s">
        <v>396</v>
      </c>
      <c r="V61" s="261" t="s">
        <v>397</v>
      </c>
    </row>
    <row r="62" spans="2:39" s="257" customFormat="1" ht="20.149999999999999" customHeight="1" thickBot="1" x14ac:dyDescent="0.4">
      <c r="C62" s="256" t="s">
        <v>368</v>
      </c>
      <c r="D62" s="282" t="str">
        <f>L9</f>
        <v>HFO - ISO 8217 - Grades RME to RMK</v>
      </c>
      <c r="E62" s="284">
        <f>L13</f>
        <v>0</v>
      </c>
      <c r="F62" s="288">
        <f>L15</f>
        <v>0</v>
      </c>
      <c r="G62" s="286">
        <f t="shared" ref="G62:G65" si="0">E62-(E62*$D$60)</f>
        <v>0</v>
      </c>
      <c r="H62" s="285"/>
      <c r="I62" s="290" t="s">
        <v>39</v>
      </c>
      <c r="J62" s="265">
        <v>30</v>
      </c>
      <c r="K62" s="269" t="s">
        <v>353</v>
      </c>
      <c r="L62" s="321">
        <v>9.1999999999999993</v>
      </c>
      <c r="M62" s="263">
        <f>VLOOKUP(I62,'Fuel Factors'!$B$3:$I$41,2,FALSE)</f>
        <v>3.6999999999999998E-2</v>
      </c>
      <c r="N62" s="279">
        <v>822</v>
      </c>
      <c r="O62" s="275">
        <v>5.62</v>
      </c>
      <c r="S62" s="274">
        <f>G62-(G62*O62%)</f>
        <v>0</v>
      </c>
      <c r="T62" s="10">
        <f t="shared" ref="T62:T64" si="1">F62-(F62*O62%)</f>
        <v>0</v>
      </c>
      <c r="U62" s="276">
        <f>'Back end calculation'!AP5</f>
        <v>0</v>
      </c>
      <c r="V62" s="256">
        <f>'Back end calculation'!AP6/(1-($R$31))</f>
        <v>0</v>
      </c>
    </row>
    <row r="63" spans="2:39" ht="20.149999999999999" customHeight="1" thickBot="1" x14ac:dyDescent="0.4">
      <c r="C63" s="8" t="s">
        <v>369</v>
      </c>
      <c r="D63" s="283" t="str">
        <f>O9</f>
        <v>LFO - ISO 8217 - Grades RMA to RMD</v>
      </c>
      <c r="E63" s="60">
        <f>O13</f>
        <v>0</v>
      </c>
      <c r="F63" s="283">
        <f>O15</f>
        <v>0</v>
      </c>
      <c r="G63" s="60">
        <f t="shared" si="0"/>
        <v>0</v>
      </c>
      <c r="H63" s="9"/>
      <c r="I63" s="291" t="s">
        <v>39</v>
      </c>
      <c r="J63" s="87">
        <v>30</v>
      </c>
      <c r="K63" s="267" t="s">
        <v>381</v>
      </c>
      <c r="L63" s="271">
        <f>VLOOKUP(I63,'Fuel Factors'!$B$3:$J$41,9,FALSE)</f>
        <v>34.54</v>
      </c>
      <c r="M63" s="262">
        <f>VLOOKUP(I63,'Fuel Factors'!$B$3:$I$41,2,FALSE)</f>
        <v>3.6999999999999998E-2</v>
      </c>
      <c r="N63" s="7">
        <v>857</v>
      </c>
      <c r="O63" s="87">
        <v>0</v>
      </c>
      <c r="S63" s="10">
        <f>G63-(G63*O63%)</f>
        <v>0</v>
      </c>
      <c r="T63" s="10">
        <f t="shared" si="1"/>
        <v>0</v>
      </c>
      <c r="U63" s="8">
        <f>'Back end calculation'!AR5</f>
        <v>0</v>
      </c>
      <c r="V63" s="8">
        <f>'Back end calculation'!AR6/(1-($R$31))</f>
        <v>0</v>
      </c>
    </row>
    <row r="64" spans="2:39" s="257" customFormat="1" ht="20.149999999999999" customHeight="1" thickBot="1" x14ac:dyDescent="0.4">
      <c r="C64" s="256" t="s">
        <v>370</v>
      </c>
      <c r="D64" s="282" t="str">
        <f>R9</f>
        <v>MDO / MGO - ISO 8217 - Grades DMX to DMB</v>
      </c>
      <c r="E64" s="286">
        <f>R13</f>
        <v>0</v>
      </c>
      <c r="F64" s="282">
        <f>R15</f>
        <v>0</v>
      </c>
      <c r="G64" s="286">
        <f>E64-(E64*$D$60)</f>
        <v>0</v>
      </c>
      <c r="H64" s="287"/>
      <c r="I64" s="292" t="s">
        <v>39</v>
      </c>
      <c r="J64" s="266">
        <v>30</v>
      </c>
      <c r="K64" s="270" t="s">
        <v>400</v>
      </c>
      <c r="L64" s="271">
        <f>VLOOKUP(I64,'Fuel Factors'!$B$3:$J$41,9,FALSE)</f>
        <v>34.54</v>
      </c>
      <c r="M64" s="262">
        <f>VLOOKUP(I64,'Fuel Factors'!$B$3:$I$41,2,FALSE)</f>
        <v>3.6999999999999998E-2</v>
      </c>
      <c r="N64" s="279">
        <v>967</v>
      </c>
      <c r="O64" s="266">
        <v>0</v>
      </c>
      <c r="S64" s="264">
        <f>G64-(G64*O64%)</f>
        <v>0</v>
      </c>
      <c r="T64" s="10">
        <f t="shared" si="1"/>
        <v>0</v>
      </c>
      <c r="U64" s="256">
        <f>'Back end calculation'!AT5</f>
        <v>0</v>
      </c>
      <c r="V64" s="256">
        <f>'Back end calculation'!AT6/(1-($R$31))</f>
        <v>0</v>
      </c>
    </row>
    <row r="65" spans="3:22" ht="20.149999999999999" customHeight="1" thickBot="1" x14ac:dyDescent="0.4">
      <c r="C65" s="8" t="s">
        <v>371</v>
      </c>
      <c r="D65" s="283" t="str">
        <f>U9</f>
        <v>Bio-diesel</v>
      </c>
      <c r="E65" s="64">
        <f>U13</f>
        <v>0</v>
      </c>
      <c r="F65" s="289">
        <f>U15</f>
        <v>0</v>
      </c>
      <c r="G65" s="60">
        <f t="shared" si="0"/>
        <v>0</v>
      </c>
      <c r="H65" s="66"/>
      <c r="I65" s="4" t="s">
        <v>40</v>
      </c>
      <c r="J65" s="90">
        <v>30</v>
      </c>
      <c r="K65" s="268" t="s">
        <v>400</v>
      </c>
      <c r="L65" s="271">
        <f>VLOOKUP(I65,'Fuel Factors'!$B$3:$J$41,9,FALSE)</f>
        <v>42.757100000000001</v>
      </c>
      <c r="M65" s="271">
        <f>VLOOKUP(I65,'Fuel Factors'!$B$3:$I$41,2,FALSE)</f>
        <v>4.3999999999999997E-2</v>
      </c>
      <c r="N65" s="7">
        <v>822</v>
      </c>
      <c r="O65" s="90">
        <v>0</v>
      </c>
      <c r="S65" s="10">
        <f>G65-(G65*O65%)</f>
        <v>0</v>
      </c>
      <c r="T65" s="10">
        <f>F65-(F65*O65%)</f>
        <v>0</v>
      </c>
      <c r="U65" s="8">
        <f>'Back end calculation'!AV5</f>
        <v>0</v>
      </c>
      <c r="V65" s="8">
        <f>'Back end calculation'!AV6/(1-($R$31))</f>
        <v>0</v>
      </c>
    </row>
    <row r="67" spans="3:22" x14ac:dyDescent="0.35">
      <c r="C67" t="s">
        <v>375</v>
      </c>
      <c r="U67" t="s">
        <v>378</v>
      </c>
    </row>
    <row r="68" spans="3:22" x14ac:dyDescent="0.35">
      <c r="C68" s="8" t="s">
        <v>382</v>
      </c>
      <c r="D68" s="8">
        <f>SUM('Back end calculation'!K12:R12)+SUM('Back end calculation'!K18:R18)</f>
        <v>0</v>
      </c>
      <c r="E68" s="8"/>
      <c r="F68" s="8"/>
      <c r="S68" s="8" t="s">
        <v>382</v>
      </c>
      <c r="U68" s="8">
        <f>SUM('Back end calculation'!AG12:AN12)+SUM('Back end calculation'!AP12:AW12)+SUM('Back end calculation'!AG18:AN18)+SUM('Back end calculation'!AP18:AW18)</f>
        <v>0</v>
      </c>
    </row>
    <row r="69" spans="3:22" x14ac:dyDescent="0.35">
      <c r="C69" s="8" t="s">
        <v>187</v>
      </c>
      <c r="D69" s="8">
        <f>L34</f>
        <v>2025</v>
      </c>
      <c r="E69" s="8"/>
      <c r="F69" s="8"/>
      <c r="S69" s="8" t="s">
        <v>187</v>
      </c>
      <c r="U69" s="8">
        <f>L34</f>
        <v>2025</v>
      </c>
    </row>
    <row r="70" spans="3:22" x14ac:dyDescent="0.35">
      <c r="C70" s="8" t="s">
        <v>184</v>
      </c>
      <c r="D70" s="8" t="e">
        <f>VLOOKUP(D69,'Back end calculation'!C108:G133,2,FALSE)</f>
        <v>#DIV/0!</v>
      </c>
      <c r="E70" s="8"/>
      <c r="F70" s="8"/>
      <c r="S70" s="8" t="s">
        <v>184</v>
      </c>
      <c r="U70" s="8" t="e">
        <f>'Back end calculation'!AO59/1000000</f>
        <v>#DIV/0!</v>
      </c>
    </row>
    <row r="71" spans="3:22" x14ac:dyDescent="0.35">
      <c r="C71" s="8" t="s">
        <v>164</v>
      </c>
      <c r="D71" s="258">
        <f>L36</f>
        <v>0</v>
      </c>
      <c r="E71" s="8"/>
      <c r="F71" s="8"/>
      <c r="O71" t="s">
        <v>347</v>
      </c>
      <c r="S71" s="8" t="s">
        <v>164</v>
      </c>
      <c r="U71" s="258">
        <f>((S62+T62)*L19)+((S63+T63)*O19)+((S64+T64)*R19)+((S65+T65)*U19)+((U62+V62)*N62)+((U63+V63)*N63)+((U64+V64)*N64)+((U65+V65)*N65)</f>
        <v>0</v>
      </c>
    </row>
    <row r="72" spans="3:22" x14ac:dyDescent="0.35">
      <c r="C72" s="8" t="s">
        <v>166</v>
      </c>
      <c r="D72" s="258">
        <f>L38</f>
        <v>0</v>
      </c>
      <c r="E72" s="8"/>
      <c r="F72" s="8"/>
      <c r="S72" s="8" t="s">
        <v>166</v>
      </c>
      <c r="U72" s="258">
        <f>'Back end calculation'!AT56*W6</f>
        <v>0</v>
      </c>
      <c r="V72" s="296"/>
    </row>
    <row r="73" spans="3:22" x14ac:dyDescent="0.35">
      <c r="C73" s="8" t="s">
        <v>163</v>
      </c>
      <c r="D73" s="259" t="e">
        <f>L40</f>
        <v>#DIV/0!</v>
      </c>
      <c r="E73" s="8"/>
      <c r="F73" s="8"/>
      <c r="S73" s="8" t="s">
        <v>163</v>
      </c>
      <c r="U73" s="320" t="e">
        <f>IF('Back end calculation'!AO60&gt;0,'Back end calculation'!AO60,0)</f>
        <v>#DIV/0!</v>
      </c>
    </row>
    <row r="74" spans="3:22" x14ac:dyDescent="0.35">
      <c r="C74" s="8" t="s">
        <v>178</v>
      </c>
      <c r="D74" s="258" t="e">
        <f>L42</f>
        <v>#DIV/0!</v>
      </c>
      <c r="E74" s="8"/>
      <c r="F74" s="8"/>
      <c r="S74" s="8" t="s">
        <v>178</v>
      </c>
      <c r="U74" s="258" t="e">
        <f>IF('Back end calculation'!AO60&lt;0,ABS('Back end calculation'!AO60),0)</f>
        <v>#DIV/0!</v>
      </c>
    </row>
    <row r="75" spans="3:22" x14ac:dyDescent="0.35">
      <c r="C75" s="8" t="s">
        <v>167</v>
      </c>
      <c r="D75" s="258" t="e">
        <f>L44</f>
        <v>#DIV/0!</v>
      </c>
      <c r="E75" s="8"/>
      <c r="F75" s="8"/>
      <c r="S75" s="8" t="s">
        <v>167</v>
      </c>
      <c r="U75" s="258" t="e">
        <f>L31+U71+U72+U73-U74</f>
        <v>#DIV/0!</v>
      </c>
    </row>
    <row r="76" spans="3:22" x14ac:dyDescent="0.35">
      <c r="C76" s="8" t="s">
        <v>175</v>
      </c>
      <c r="D76" s="259" t="e">
        <f>L46</f>
        <v>#DIV/0!</v>
      </c>
      <c r="E76" s="8"/>
      <c r="F76" s="8"/>
      <c r="S76" s="8" t="s">
        <v>175</v>
      </c>
      <c r="U76" s="258" t="e">
        <f>U75/AD6</f>
        <v>#DIV/0!</v>
      </c>
    </row>
    <row r="78" spans="3:22" x14ac:dyDescent="0.35">
      <c r="S78" s="114" t="s">
        <v>349</v>
      </c>
      <c r="T78" s="114"/>
      <c r="U78" s="294" t="e">
        <f>D75-U75</f>
        <v>#DIV/0!</v>
      </c>
      <c r="V78" s="298" t="e">
        <f>U78/1000000</f>
        <v>#DIV/0!</v>
      </c>
    </row>
    <row r="79" spans="3:22" x14ac:dyDescent="0.35">
      <c r="S79" s="114" t="s">
        <v>356</v>
      </c>
      <c r="T79" s="114"/>
      <c r="U79" s="295" t="e">
        <f>(U78/D75)</f>
        <v>#DIV/0!</v>
      </c>
    </row>
  </sheetData>
  <mergeCells count="119">
    <mergeCell ref="AN19:AS29"/>
    <mergeCell ref="AD21:AF21"/>
    <mergeCell ref="S8:U8"/>
    <mergeCell ref="G15:J15"/>
    <mergeCell ref="G17:J17"/>
    <mergeCell ref="O13:P13"/>
    <mergeCell ref="R13:S13"/>
    <mergeCell ref="U13:V13"/>
    <mergeCell ref="L9:M9"/>
    <mergeCell ref="O9:P9"/>
    <mergeCell ref="R9:S9"/>
    <mergeCell ref="L19:M19"/>
    <mergeCell ref="O19:P19"/>
    <mergeCell ref="U9:V9"/>
    <mergeCell ref="L12:M12"/>
    <mergeCell ref="O12:P12"/>
    <mergeCell ref="R12:S12"/>
    <mergeCell ref="U12:V12"/>
    <mergeCell ref="G12:J12"/>
    <mergeCell ref="L10:M10"/>
    <mergeCell ref="O10:P10"/>
    <mergeCell ref="R10:S10"/>
    <mergeCell ref="U10:V10"/>
    <mergeCell ref="L11:M11"/>
    <mergeCell ref="AD13:AH13"/>
    <mergeCell ref="G44:J44"/>
    <mergeCell ref="G42:J42"/>
    <mergeCell ref="G29:J29"/>
    <mergeCell ref="L29:M29"/>
    <mergeCell ref="O29:P29"/>
    <mergeCell ref="R29:S29"/>
    <mergeCell ref="U29:V29"/>
    <mergeCell ref="G25:J25"/>
    <mergeCell ref="L25:M25"/>
    <mergeCell ref="O25:P25"/>
    <mergeCell ref="R25:S25"/>
    <mergeCell ref="U25:V25"/>
    <mergeCell ref="G27:J27"/>
    <mergeCell ref="G19:J19"/>
    <mergeCell ref="G13:J13"/>
    <mergeCell ref="R27:S27"/>
    <mergeCell ref="U27:V27"/>
    <mergeCell ref="U21:V21"/>
    <mergeCell ref="AH19:AI19"/>
    <mergeCell ref="AH21:AI21"/>
    <mergeCell ref="U23:V23"/>
    <mergeCell ref="U19:V19"/>
    <mergeCell ref="AD19:AF19"/>
    <mergeCell ref="AK2:AL2"/>
    <mergeCell ref="N3:W3"/>
    <mergeCell ref="AD17:AF17"/>
    <mergeCell ref="AD6:AF6"/>
    <mergeCell ref="O15:P15"/>
    <mergeCell ref="R15:S15"/>
    <mergeCell ref="U15:V15"/>
    <mergeCell ref="O17:P17"/>
    <mergeCell ref="R17:S17"/>
    <mergeCell ref="U17:V17"/>
    <mergeCell ref="P8:R8"/>
    <mergeCell ref="V8:W8"/>
    <mergeCell ref="M6:N6"/>
    <mergeCell ref="O6:P6"/>
    <mergeCell ref="L17:M17"/>
    <mergeCell ref="L4:M4"/>
    <mergeCell ref="B2:AH2"/>
    <mergeCell ref="F4:H4"/>
    <mergeCell ref="L13:M13"/>
    <mergeCell ref="L15:M15"/>
    <mergeCell ref="O11:P11"/>
    <mergeCell ref="R11:S11"/>
    <mergeCell ref="U11:V11"/>
    <mergeCell ref="C6:D6"/>
    <mergeCell ref="E6:F6"/>
    <mergeCell ref="H6:I6"/>
    <mergeCell ref="J6:K6"/>
    <mergeCell ref="G11:J11"/>
    <mergeCell ref="L21:M21"/>
    <mergeCell ref="O21:P21"/>
    <mergeCell ref="R21:S21"/>
    <mergeCell ref="G23:J23"/>
    <mergeCell ref="L23:M23"/>
    <mergeCell ref="O23:P23"/>
    <mergeCell ref="R23:S23"/>
    <mergeCell ref="G21:J21"/>
    <mergeCell ref="R19:S19"/>
    <mergeCell ref="AH17:AI17"/>
    <mergeCell ref="AH23:AI23"/>
    <mergeCell ref="AH25:AI25"/>
    <mergeCell ref="AH27:AI27"/>
    <mergeCell ref="AK17:AL17"/>
    <mergeCell ref="AK19:AL19"/>
    <mergeCell ref="AK21:AL21"/>
    <mergeCell ref="AK23:AL23"/>
    <mergeCell ref="AK25:AL25"/>
    <mergeCell ref="AA19:AB19"/>
    <mergeCell ref="AA21:AB21"/>
    <mergeCell ref="AA23:AB23"/>
    <mergeCell ref="AA25:AB25"/>
    <mergeCell ref="AA27:AB27"/>
    <mergeCell ref="AA29:AB29"/>
    <mergeCell ref="L27:M27"/>
    <mergeCell ref="O27:P27"/>
    <mergeCell ref="G31:J31"/>
    <mergeCell ref="G46:J46"/>
    <mergeCell ref="O31:P31"/>
    <mergeCell ref="O34:P34"/>
    <mergeCell ref="C45:E45"/>
    <mergeCell ref="G38:J38"/>
    <mergeCell ref="G40:J40"/>
    <mergeCell ref="AK29:AL29"/>
    <mergeCell ref="G36:J36"/>
    <mergeCell ref="AD23:AF23"/>
    <mergeCell ref="AD25:AF25"/>
    <mergeCell ref="AD27:AF27"/>
    <mergeCell ref="AD29:AF29"/>
    <mergeCell ref="AH29:AI29"/>
    <mergeCell ref="AK27:AL27"/>
    <mergeCell ref="I34:J34"/>
    <mergeCell ref="L34:M34"/>
  </mergeCells>
  <phoneticPr fontId="20" type="noConversion"/>
  <conditionalFormatting sqref="AH19:AI29">
    <cfRule type="cellIs" dxfId="18" priority="27" operator="lessThan">
      <formula>0</formula>
    </cfRule>
    <cfRule type="cellIs" dxfId="17" priority="28" operator="greaterThan">
      <formula>0</formula>
    </cfRule>
  </conditionalFormatting>
  <conditionalFormatting sqref="AK19:AL19">
    <cfRule type="cellIs" dxfId="16" priority="24" operator="lessThan">
      <formula>0</formula>
    </cfRule>
  </conditionalFormatting>
  <conditionalFormatting sqref="AK21:AL29">
    <cfRule type="cellIs" dxfId="15" priority="23" operator="lessThan">
      <formula>0</formula>
    </cfRule>
  </conditionalFormatting>
  <conditionalFormatting sqref="AK19:AL19 AK21:AL29">
    <cfRule type="cellIs" dxfId="14" priority="22" operator="greaterThan">
      <formula>0</formula>
    </cfRule>
  </conditionalFormatting>
  <conditionalFormatting sqref="AK21:AL21">
    <cfRule type="cellIs" dxfId="13" priority="21" operator="lessThan">
      <formula>0</formula>
    </cfRule>
  </conditionalFormatting>
  <conditionalFormatting sqref="AK23:AL23">
    <cfRule type="cellIs" dxfId="12" priority="20" operator="lessThan">
      <formula>0</formula>
    </cfRule>
  </conditionalFormatting>
  <conditionalFormatting sqref="AK25:AL25">
    <cfRule type="cellIs" dxfId="11" priority="19" operator="lessThan">
      <formula>0</formula>
    </cfRule>
  </conditionalFormatting>
  <conditionalFormatting sqref="AK27:AL27">
    <cfRule type="cellIs" dxfId="10" priority="18" operator="lessThan">
      <formula>0</formula>
    </cfRule>
  </conditionalFormatting>
  <conditionalFormatting sqref="AK29:AL29">
    <cfRule type="cellIs" dxfId="9" priority="17" operator="lessThan">
      <formula>0</formula>
    </cfRule>
  </conditionalFormatting>
  <conditionalFormatting sqref="D70 U70">
    <cfRule type="cellIs" dxfId="8" priority="10" operator="lessThan">
      <formula>0</formula>
    </cfRule>
    <cfRule type="cellIs" dxfId="7" priority="11" operator="greaterThan">
      <formula>0</formula>
    </cfRule>
  </conditionalFormatting>
  <conditionalFormatting sqref="D73 U73">
    <cfRule type="cellIs" dxfId="6" priority="8" operator="equal">
      <formula>0</formula>
    </cfRule>
  </conditionalFormatting>
  <conditionalFormatting sqref="U73">
    <cfRule type="cellIs" dxfId="5" priority="7" operator="greaterThan">
      <formula>0</formula>
    </cfRule>
  </conditionalFormatting>
  <conditionalFormatting sqref="D73">
    <cfRule type="cellIs" dxfId="4" priority="6" operator="greaterThan">
      <formula>0</formula>
    </cfRule>
  </conditionalFormatting>
  <conditionalFormatting sqref="D74">
    <cfRule type="cellIs" dxfId="3" priority="3" operator="equal">
      <formula>0</formula>
    </cfRule>
    <cfRule type="containsText" dxfId="2" priority="5" operator="containsText" text="0">
      <formula>NOT(ISERROR(SEARCH("0",D74)))</formula>
    </cfRule>
  </conditionalFormatting>
  <conditionalFormatting sqref="U74">
    <cfRule type="cellIs" dxfId="1" priority="1" operator="equal">
      <formula>0</formula>
    </cfRule>
    <cfRule type="cellIs" dxfId="0" priority="2" operator="greaterThan">
      <formula>0</formula>
    </cfRule>
  </conditionalFormatting>
  <dataValidations count="2">
    <dataValidation type="list" showInputMessage="1" showErrorMessage="1" sqref="L11:M11 O11:P11 R11:S11 U11:V11 M49 C54 K62:K65" xr:uid="{4E7EC3B5-D7F4-40FF-892A-0F204903B922}">
      <formula1>"HFO,LFO,MGO/MDO,N/A"</formula1>
    </dataValidation>
    <dataValidation type="list" showInputMessage="1" showErrorMessage="1" sqref="E6:F6" xr:uid="{78BA31FA-0C5F-48D0-9362-8E2677CB1411}">
      <formula1>"1A SUPER,1A,1B,1C,N/A"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6" r:id="rId4" name="Scroll Bar 334">
              <controlPr defaultSize="0" autoPict="0">
                <anchor moveWithCells="1">
                  <from>
                    <xdr:col>15</xdr:col>
                    <xdr:colOff>38100</xdr:colOff>
                    <xdr:row>60</xdr:row>
                    <xdr:rowOff>222250</xdr:rowOff>
                  </from>
                  <to>
                    <xdr:col>17</xdr:col>
                    <xdr:colOff>247650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5" name="Scroll Bar 328">
              <controlPr defaultSize="0" autoPict="0">
                <anchor moveWithCells="1">
                  <from>
                    <xdr:col>15</xdr:col>
                    <xdr:colOff>31750</xdr:colOff>
                    <xdr:row>62</xdr:row>
                    <xdr:rowOff>247650</xdr:rowOff>
                  </from>
                  <to>
                    <xdr:col>17</xdr:col>
                    <xdr:colOff>247650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6" name="Scroll Bar 332">
              <controlPr defaultSize="0" autoPict="0">
                <anchor moveWithCells="1">
                  <from>
                    <xdr:col>15</xdr:col>
                    <xdr:colOff>31750</xdr:colOff>
                    <xdr:row>64</xdr:row>
                    <xdr:rowOff>0</xdr:rowOff>
                  </from>
                  <to>
                    <xdr:col>17</xdr:col>
                    <xdr:colOff>247650</xdr:colOff>
                    <xdr:row>65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7" name="Scroll Bar 333">
              <controlPr defaultSize="0" autoPict="0">
                <anchor moveWithCells="1">
                  <from>
                    <xdr:col>15</xdr:col>
                    <xdr:colOff>19050</xdr:colOff>
                    <xdr:row>61</xdr:row>
                    <xdr:rowOff>228600</xdr:rowOff>
                  </from>
                  <to>
                    <xdr:col>17</xdr:col>
                    <xdr:colOff>241300</xdr:colOff>
                    <xdr:row>63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1E5D8EB-A087-4B46-814D-A5FFE34742B0}">
          <x14:formula1>
            <xm:f>'Fuel Factors'!$B$3:$B$41</xm:f>
          </x14:formula1>
          <xm:sqref>L9:V9 I62:I65</xm:sqref>
        </x14:dataValidation>
        <x14:dataValidation type="list" allowBlank="1" showInputMessage="1" showErrorMessage="1" xr:uid="{A4887235-9589-453C-AFE0-ACC854832FF9}">
          <x14:formula1>
            <xm:f>'Fuel Factors'!$B$17:$B$28</xm:f>
          </x14:formula1>
          <xm:sqref>D49</xm:sqref>
        </x14:dataValidation>
        <x14:dataValidation type="list" allowBlank="1" showInputMessage="1" showErrorMessage="1" xr:uid="{756284B0-5C08-46BE-9A10-4E399616E6B2}">
          <x14:formula1>
            <xm:f>'Back end calculation'!$C$108:$C$133</xm:f>
          </x14:formula1>
          <xm:sqref>L34:M34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A807-5BDD-4770-9562-EF862F0D0B78}">
  <sheetPr codeName="Sheet1"/>
  <dimension ref="A1:AX133"/>
  <sheetViews>
    <sheetView zoomScale="80" zoomScaleNormal="80" workbookViewId="0">
      <selection activeCell="D55" sqref="D55"/>
    </sheetView>
  </sheetViews>
  <sheetFormatPr defaultRowHeight="14.5" x14ac:dyDescent="0.35"/>
  <cols>
    <col min="3" max="3" width="18.54296875" bestFit="1" customWidth="1"/>
    <col min="4" max="4" width="20.81640625" customWidth="1"/>
    <col min="5" max="5" width="22.453125" customWidth="1"/>
    <col min="6" max="6" width="16.1796875" customWidth="1"/>
    <col min="7" max="7" width="19" customWidth="1"/>
    <col min="8" max="8" width="15.81640625" customWidth="1"/>
    <col min="9" max="9" width="16" customWidth="1"/>
    <col min="10" max="10" width="43.453125" customWidth="1"/>
    <col min="11" max="11" width="12.7265625" style="7" customWidth="1"/>
    <col min="12" max="13" width="10.81640625" style="7" customWidth="1"/>
    <col min="14" max="14" width="14.1796875" style="7" customWidth="1"/>
    <col min="15" max="18" width="10.81640625" style="7" customWidth="1"/>
    <col min="20" max="20" width="25.54296875" customWidth="1"/>
    <col min="21" max="21" width="9.1796875" customWidth="1"/>
    <col min="22" max="22" width="53" customWidth="1"/>
    <col min="23" max="23" width="22.1796875" customWidth="1"/>
    <col min="24" max="24" width="19.453125" customWidth="1"/>
    <col min="25" max="25" width="9.1796875" customWidth="1"/>
    <col min="26" max="26" width="23.54296875" customWidth="1"/>
    <col min="27" max="28" width="15.453125" customWidth="1"/>
    <col min="29" max="29" width="8.81640625" customWidth="1"/>
    <col min="30" max="30" width="4.7265625" customWidth="1"/>
    <col min="31" max="31" width="4.26953125" customWidth="1"/>
    <col min="32" max="32" width="43" customWidth="1"/>
    <col min="33" max="40" width="10.453125" customWidth="1"/>
    <col min="41" max="41" width="15.453125" customWidth="1"/>
    <col min="42" max="49" width="10.453125" customWidth="1"/>
  </cols>
  <sheetData>
    <row r="1" spans="3:50" x14ac:dyDescent="0.35">
      <c r="W1" s="401" t="s">
        <v>367</v>
      </c>
      <c r="X1" s="401"/>
      <c r="Z1" s="237"/>
      <c r="AG1" s="208"/>
    </row>
    <row r="2" spans="3:50" ht="19" thickBot="1" x14ac:dyDescent="0.5">
      <c r="C2" s="92"/>
      <c r="D2" s="92"/>
      <c r="E2" s="92"/>
      <c r="W2" s="402" t="s">
        <v>357</v>
      </c>
      <c r="X2" s="402"/>
      <c r="Z2" s="237"/>
      <c r="AA2" s="237" t="s">
        <v>365</v>
      </c>
      <c r="AB2" s="237"/>
      <c r="AF2" s="396" t="s">
        <v>380</v>
      </c>
      <c r="AG2" s="396"/>
      <c r="AH2" s="396"/>
      <c r="AI2" s="396"/>
      <c r="AJ2" s="396"/>
      <c r="AK2" s="396"/>
      <c r="AL2" s="396"/>
      <c r="AM2" s="396"/>
      <c r="AN2" s="396"/>
      <c r="AO2" s="396"/>
      <c r="AP2" s="396"/>
      <c r="AQ2" s="396"/>
      <c r="AR2" s="396"/>
      <c r="AS2" s="396"/>
      <c r="AT2" s="396"/>
      <c r="AU2" s="396"/>
      <c r="AV2" s="396"/>
      <c r="AW2" s="396"/>
    </row>
    <row r="3" spans="3:50" ht="15" thickBot="1" x14ac:dyDescent="0.4">
      <c r="J3" s="114" t="s">
        <v>203</v>
      </c>
      <c r="K3" s="388" t="str">
        <f>'Penalty Calculator'!L9</f>
        <v>HFO - ISO 8217 - Grades RME to RMK</v>
      </c>
      <c r="L3" s="389"/>
      <c r="M3" s="390" t="str">
        <f>'Penalty Calculator'!O9</f>
        <v>LFO - ISO 8217 - Grades RMA to RMD</v>
      </c>
      <c r="N3" s="391"/>
      <c r="O3" s="388" t="str">
        <f>'Penalty Calculator'!R9</f>
        <v>MDO / MGO - ISO 8217 - Grades DMX to DMB</v>
      </c>
      <c r="P3" s="389"/>
      <c r="Q3" s="388" t="str">
        <f>'Penalty Calculator'!U9</f>
        <v>Bio-diesel</v>
      </c>
      <c r="R3" s="389"/>
      <c r="S3" s="93"/>
      <c r="U3" s="114"/>
      <c r="W3" s="390" t="str">
        <f>'Penalty Calculator'!D49</f>
        <v>Bio-diesel</v>
      </c>
      <c r="X3" s="391"/>
      <c r="Z3" s="237"/>
      <c r="AA3" s="388" t="str">
        <f>IF('Penalty Calculator'!C54="HFO","HFO - ISO 8217 - Grades RME to RMK",IF('Penalty Calculator'!C54="LFO","LFO - ISO 8217 - Grades RMA to RMD",IF('Penalty Calculator'!C54="MGO/MDO","MDO / MGO - ISO 8217 - Grades DMX to DMB","")))</f>
        <v>HFO - ISO 8217 - Grades RME to RMK</v>
      </c>
      <c r="AB3" s="389"/>
      <c r="AC3" s="237"/>
      <c r="AG3" s="388" t="str">
        <f>'Penalty Calculator'!$L$9</f>
        <v>HFO - ISO 8217 - Grades RME to RMK</v>
      </c>
      <c r="AH3" s="389"/>
      <c r="AI3" s="390" t="str">
        <f>'Penalty Calculator'!$O$9</f>
        <v>LFO - ISO 8217 - Grades RMA to RMD</v>
      </c>
      <c r="AJ3" s="391"/>
      <c r="AK3" s="388" t="str">
        <f>'Penalty Calculator'!$R$9</f>
        <v>MDO / MGO - ISO 8217 - Grades DMX to DMB</v>
      </c>
      <c r="AL3" s="389"/>
      <c r="AM3" s="388" t="str">
        <f>'Penalty Calculator'!$U$9</f>
        <v>Bio-diesel</v>
      </c>
      <c r="AN3" s="389"/>
      <c r="AP3" s="388" t="str">
        <f>'Penalty Calculator'!I62</f>
        <v>Bio-diesel</v>
      </c>
      <c r="AQ3" s="389"/>
      <c r="AR3" s="390" t="str">
        <f>'Penalty Calculator'!I63</f>
        <v>Bio-diesel</v>
      </c>
      <c r="AS3" s="391"/>
      <c r="AT3" s="388" t="str">
        <f>'Penalty Calculator'!I64</f>
        <v>Bio-diesel</v>
      </c>
      <c r="AU3" s="389"/>
      <c r="AV3" s="388" t="str">
        <f>'Penalty Calculator'!I65</f>
        <v>Hydrotreated Vegetable Oil (HVO)</v>
      </c>
      <c r="AW3" s="389"/>
      <c r="AX3" s="277"/>
    </row>
    <row r="4" spans="3:50" ht="15" thickBot="1" x14ac:dyDescent="0.4">
      <c r="I4" s="94"/>
      <c r="J4" s="198" t="s">
        <v>289</v>
      </c>
      <c r="K4" s="156" t="str">
        <f>'Penalty Calculator'!L10</f>
        <v>-</v>
      </c>
      <c r="L4" s="153" t="str">
        <f>IF('Penalty Calculator'!L11="HFO","HFO - ISO 8217 - Grades RME to RMK",IF('Penalty Calculator'!L11="LFO","LFO - ISO 8217 - Grades RMA to RMD",IF('Penalty Calculator'!L11="MGO/MDO","MDO / MGO - ISO 8217 - Grades DMX to DMB","")))</f>
        <v/>
      </c>
      <c r="M4" s="156" t="str">
        <f>'Penalty Calculator'!O10</f>
        <v>-</v>
      </c>
      <c r="N4" s="153" t="str">
        <f>IF('Penalty Calculator'!O11="HFO","HFO - ISO 8217 - Grades RME to RMK",IF('Penalty Calculator'!O11="LFO","LFO - ISO 8217 - Grades RMA to RMD",IF('Penalty Calculator'!O11="MGO/MDO","MDO / MGO - ISO 8217 - Grades DMX to DMB","")))</f>
        <v/>
      </c>
      <c r="O4" s="156" t="str">
        <f>'Penalty Calculator'!R10</f>
        <v>-</v>
      </c>
      <c r="P4" s="153" t="str">
        <f>IF('Penalty Calculator'!R11="HFO","HFO - ISO 8217 - Grades RME to RMK",IF('Penalty Calculator'!R11="LFO","LFO - ISO 8217 - Grades RMA to RMD",IF('Penalty Calculator'!R11="MGO/MDO","MDO / MGO - ISO 8217 - Grades DMX to DMB","")))</f>
        <v/>
      </c>
      <c r="Q4" s="155">
        <f>'Penalty Calculator'!U10</f>
        <v>100</v>
      </c>
      <c r="R4" s="153" t="str">
        <f>IF('Penalty Calculator'!U11="HFO","HFO - ISO 8217 - Grades RME to RMK",IF('Penalty Calculator'!U11="LFO","LFO - ISO 8217 - Grades RMA to RMD",IF('Penalty Calculator'!U11="MGO/MDO","MDO / MGO - ISO 8217 - Grades DMX to DMB","")))</f>
        <v>MDO / MGO - ISO 8217 - Grades DMX to DMB</v>
      </c>
      <c r="S4" s="93"/>
      <c r="U4" s="114"/>
      <c r="W4" s="156">
        <f>'Penalty Calculator'!I49</f>
        <v>30</v>
      </c>
      <c r="X4" s="153" t="str">
        <f>IF('Penalty Calculator'!M49="HFO","HFO - ISO 8217 - Grades RME to RMK",IF('Penalty Calculator'!M49="LFO","LFO - ISO 8217 - Grades RMA to RMD",IF('Penalty Calculator'!M49="MGO/MDO","MDO / MGO - ISO 8217 - Grades DMX to DMB","")))</f>
        <v>MDO / MGO - ISO 8217 - Grades DMX to DMB</v>
      </c>
      <c r="Y4" s="7"/>
      <c r="Z4" s="239"/>
      <c r="AA4" s="155" t="s">
        <v>4</v>
      </c>
      <c r="AB4" s="153"/>
      <c r="AC4" s="238"/>
      <c r="AD4" s="127"/>
      <c r="AF4" s="198" t="s">
        <v>289</v>
      </c>
      <c r="AG4" s="156" t="str">
        <f>'Penalty Calculator'!L10</f>
        <v>-</v>
      </c>
      <c r="AH4" s="153" t="str">
        <f>IF('Penalty Calculator'!L11="HFO","HFO - ISO 8217 - Grades RME to RMK",IF('Penalty Calculator'!L11="LFO","LFO - ISO 8217 - Grades RMA to RMD",IF('Penalty Calculator'!L11="MGO/MDO","MDO / MGO - ISO 8217 - Grades DMX to DMB","")))</f>
        <v/>
      </c>
      <c r="AI4" s="156" t="str">
        <f>'Penalty Calculator'!O10</f>
        <v>-</v>
      </c>
      <c r="AJ4" s="153" t="str">
        <f>IF('Penalty Calculator'!O11="HFO","HFO - ISO 8217 - Grades RME to RMK",IF('Penalty Calculator'!O11="LFO","LFO - ISO 8217 - Grades RMA to RMD",IF('Penalty Calculator'!O11="MGO/MDO","MDO / MGO - ISO 8217 - Grades DMX to DMB","")))</f>
        <v/>
      </c>
      <c r="AK4" s="156" t="str">
        <f>'Penalty Calculator'!R10</f>
        <v>-</v>
      </c>
      <c r="AL4" s="153" t="str">
        <f>IF('Penalty Calculator'!R11="HFO","HFO - ISO 8217 - Grades RME to RMK",IF('Penalty Calculator'!R11="LFO","LFO - ISO 8217 - Grades RMA to RMD",IF('Penalty Calculator'!R11="MGO/MDO","MDO / MGO - ISO 8217 - Grades DMX to DMB","")))</f>
        <v/>
      </c>
      <c r="AM4" s="156">
        <f>'Penalty Calculator'!U10</f>
        <v>100</v>
      </c>
      <c r="AN4" s="153" t="str">
        <f>IF('Penalty Calculator'!U11="HFO","HFO - ISO 8217 - Grades RME to RMK",IF('Penalty Calculator'!U11="LFO","LFO - ISO 8217 - Grades RMA to RMD",IF('Penalty Calculator'!U11="MGO/MDO","MDO / MGO - ISO 8217 - Grades DMX to DMB","")))</f>
        <v>MDO / MGO - ISO 8217 - Grades DMX to DMB</v>
      </c>
      <c r="AP4" s="156">
        <f>'Penalty Calculator'!J62</f>
        <v>30</v>
      </c>
      <c r="AQ4" s="153" t="str">
        <f>IF('Penalty Calculator'!K62="HFO","HFO - ISO 8217 - Grades RME to RMK",IF('Penalty Calculator'!K62="LFO","LFO - ISO 8217 - Grades RMA to RMD",IF('Penalty Calculator'!K62="MGO/MDO","MDO / MGO - ISO 8217 - Grades DMX to DMB","")))</f>
        <v>HFO - ISO 8217 - Grades RME to RMK</v>
      </c>
      <c r="AR4" s="156">
        <f>'Penalty Calculator'!J63</f>
        <v>30</v>
      </c>
      <c r="AS4" s="153" t="str">
        <f>IF('Penalty Calculator'!K63="HFO","HFO - ISO 8217 - Grades RME to RMK",IF('Penalty Calculator'!K63="LFO","LFO - ISO 8217 - Grades RMA to RMD",IF('Penalty Calculator'!K63="MGO/MDO","MDO / MGO - ISO 8217 - Grades DMX to DMB","")))</f>
        <v>LFO - ISO 8217 - Grades RMA to RMD</v>
      </c>
      <c r="AT4" s="156">
        <f>'Penalty Calculator'!J64</f>
        <v>30</v>
      </c>
      <c r="AU4" s="153" t="str">
        <f>IF('Penalty Calculator'!K64="HFO","HFO - ISO 8217 - Grades RME to RMK",IF('Penalty Calculator'!K64="LFO","LFO - ISO 8217 - Grades RMA to RMD",IF('Penalty Calculator'!K64="MGO/MDO","MDO / MGO - ISO 8217 - Grades DMX to DMB","")))</f>
        <v>MDO / MGO - ISO 8217 - Grades DMX to DMB</v>
      </c>
      <c r="AV4" s="156">
        <f>'Penalty Calculator'!J65</f>
        <v>30</v>
      </c>
      <c r="AW4" s="153" t="str">
        <f>IF('Penalty Calculator'!K65="HFO","HFO - ISO 8217 - Grades RME to RMK",IF('Penalty Calculator'!K65="LFO","LFO - ISO 8217 - Grades RMA to RMD",IF('Penalty Calculator'!K65="MGO/MDO","MDO / MGO - ISO 8217 - Grades DMX to DMB","")))</f>
        <v>MDO / MGO - ISO 8217 - Grades DMX to DMB</v>
      </c>
      <c r="AX4" s="277"/>
    </row>
    <row r="5" spans="3:50" x14ac:dyDescent="0.35">
      <c r="I5" s="94"/>
      <c r="J5" s="94" t="s">
        <v>132</v>
      </c>
      <c r="K5" s="139">
        <f>'Penalty Calculator'!L13-('Penalty Calculator'!L13*'Penalty Calculator'!$R$31)</f>
        <v>0</v>
      </c>
      <c r="L5" s="140"/>
      <c r="M5" s="147">
        <f>'Penalty Calculator'!O13-('Penalty Calculator'!O13*'Penalty Calculator'!$R$31)</f>
        <v>0</v>
      </c>
      <c r="N5" s="148"/>
      <c r="O5" s="147">
        <f>'Penalty Calculator'!R13-('Penalty Calculator'!R13*'Penalty Calculator'!$R$31)</f>
        <v>0</v>
      </c>
      <c r="P5" s="148"/>
      <c r="Q5" s="147">
        <f>'Penalty Calculator'!U13-('Penalty Calculator'!U13*'Penalty Calculator'!$R$31)</f>
        <v>0</v>
      </c>
      <c r="R5" s="148"/>
      <c r="S5" s="208" t="s">
        <v>348</v>
      </c>
      <c r="T5" t="s">
        <v>352</v>
      </c>
      <c r="W5" s="227">
        <v>3903.3354706071282</v>
      </c>
      <c r="X5" s="148"/>
      <c r="Y5" s="7"/>
      <c r="Z5" s="238"/>
      <c r="AA5" s="231" t="e">
        <f>'Penalty Calculator'!R49</f>
        <v>#DIV/0!</v>
      </c>
      <c r="AB5" s="148"/>
      <c r="AC5" s="240"/>
      <c r="AD5" s="220"/>
      <c r="AF5" s="94" t="s">
        <v>132</v>
      </c>
      <c r="AG5" s="139">
        <f>'Penalty Calculator'!S62</f>
        <v>0</v>
      </c>
      <c r="AH5" s="140"/>
      <c r="AI5" s="147">
        <f>'Penalty Calculator'!S63</f>
        <v>0</v>
      </c>
      <c r="AJ5" s="148"/>
      <c r="AK5" s="147">
        <f>'Penalty Calculator'!S64</f>
        <v>0</v>
      </c>
      <c r="AL5" s="148"/>
      <c r="AM5" s="147">
        <f>'Penalty Calculator'!S65</f>
        <v>0</v>
      </c>
      <c r="AN5" s="148"/>
      <c r="AP5" s="147">
        <f>IF('Penalty Calculator'!$U$4=50%,(K12-AG12)/(((AP4%)*AP9)+((1-AP4%)*AQ9))*2,(K12-AG12)/(((AP4%)*AP9)+((1-AP4%)*AQ9)))</f>
        <v>0</v>
      </c>
      <c r="AQ5" s="140"/>
      <c r="AR5" s="147">
        <f>IF('Penalty Calculator'!$U$4=50%,(M12-AI12)/(((AR4%)*AR9)+((1-AR4%)*AS9))*2,(M12-AI12)/(((AR4%)*AR9)+((1-AR4%)*AS9)))</f>
        <v>0</v>
      </c>
      <c r="AS5" s="148"/>
      <c r="AT5" s="147">
        <f>IF('Penalty Calculator'!$U$4=50%,(O12-AK12)/(((AT4%)*AT9)+((1-AT4%)*AU9))*2,(O12-AK12)/(((AT4%)*AT9)+((1-AT4%)*AU9)))</f>
        <v>0</v>
      </c>
      <c r="AU5" s="148"/>
      <c r="AV5" s="147">
        <f>IF('Penalty Calculator'!$U$4=50%,(Q12-AM12)/(((AV4%)*AV9)+((1-AV4%)*AW9))*2,(Q12-AM12)/(((AV4%)*AV9)+((1-AV4%)*AW9)))</f>
        <v>0</v>
      </c>
      <c r="AW5" s="148"/>
    </row>
    <row r="6" spans="3:50" x14ac:dyDescent="0.35">
      <c r="I6" s="94"/>
      <c r="J6" s="94" t="s">
        <v>133</v>
      </c>
      <c r="K6" s="141">
        <f>'Penalty Calculator'!L15</f>
        <v>0</v>
      </c>
      <c r="L6" s="142"/>
      <c r="M6" s="149">
        <f>'Penalty Calculator'!O15</f>
        <v>0</v>
      </c>
      <c r="N6" s="150"/>
      <c r="O6" s="149">
        <f>'Penalty Calculator'!R15</f>
        <v>0</v>
      </c>
      <c r="P6" s="150"/>
      <c r="Q6" s="151">
        <f>'Penalty Calculator'!U15</f>
        <v>0</v>
      </c>
      <c r="R6" s="152"/>
      <c r="W6" s="209">
        <v>0</v>
      </c>
      <c r="X6" s="150"/>
      <c r="Y6" s="7"/>
      <c r="Z6" s="238"/>
      <c r="AA6" s="151">
        <f>'Penalty Calculator'!AE15</f>
        <v>0</v>
      </c>
      <c r="AB6" s="152"/>
      <c r="AC6" s="240"/>
      <c r="AD6" s="220"/>
      <c r="AF6" s="94" t="s">
        <v>133</v>
      </c>
      <c r="AG6" s="141">
        <f>'Penalty Calculator'!T62</f>
        <v>0</v>
      </c>
      <c r="AH6" s="142"/>
      <c r="AI6" s="149">
        <f>'Penalty Calculator'!T63</f>
        <v>0</v>
      </c>
      <c r="AJ6" s="150"/>
      <c r="AK6" s="149">
        <f>'Penalty Calculator'!T64</f>
        <v>0</v>
      </c>
      <c r="AL6" s="150"/>
      <c r="AM6" s="151">
        <f>'Penalty Calculator'!T65</f>
        <v>0</v>
      </c>
      <c r="AN6" s="152"/>
      <c r="AP6" s="141">
        <f>IF('Penalty Calculator'!$AD$4=50%,(K18-AG18)/(((AP4%)*AP15)+((1-AP4%)*AQ15))*2,(K18-AG18)/(((AP4%)*AP15)+((1-AP4%)*AQ15)))</f>
        <v>0</v>
      </c>
      <c r="AQ6" s="142"/>
      <c r="AR6" s="141">
        <f>IF('Penalty Calculator'!$AD$4=50%,(M18-AI18)/(((AR4%)*AR15)+((1-AR4%)*AS15))*2,(M18-AI18)/(((AR4%)*AR15)+((1-AR4%)*AS15)))</f>
        <v>0</v>
      </c>
      <c r="AS6" s="150"/>
      <c r="AT6" s="141">
        <f>IF('Penalty Calculator'!$AD$4=50%,(O18-AK18)/(((AT4%)*AT15)+((1-AT4%)*AU15))*2,(O18-AK18)/(((AT4%)*AT15)+((1-AT4%)*AU15)))</f>
        <v>0</v>
      </c>
      <c r="AU6" s="150"/>
      <c r="AV6" s="141">
        <f>IF('Penalty Calculator'!$AD$4=50%,(Q18-AM18)/(((AV4%)*AV15)+((1-AV4%)*AW15))*2,(Q18-AM18)/(((AV4%)*AV15)+((1-AV4%)*AW15)))</f>
        <v>0</v>
      </c>
      <c r="AW6" s="152"/>
    </row>
    <row r="7" spans="3:50" ht="15" thickBot="1" x14ac:dyDescent="0.4">
      <c r="I7" s="94"/>
      <c r="J7" s="94" t="s">
        <v>134</v>
      </c>
      <c r="K7" s="143">
        <f>K5+K6</f>
        <v>0</v>
      </c>
      <c r="L7" s="144"/>
      <c r="M7" s="143">
        <f>M5+M6</f>
        <v>0</v>
      </c>
      <c r="N7" s="146"/>
      <c r="O7" s="143">
        <f>O5+O6</f>
        <v>0</v>
      </c>
      <c r="P7" s="146"/>
      <c r="Q7" s="143">
        <f>Q5+Q6</f>
        <v>0</v>
      </c>
      <c r="R7" s="2"/>
      <c r="W7" s="143">
        <f>W5+W6</f>
        <v>3903.3354706071282</v>
      </c>
      <c r="X7" s="146"/>
      <c r="Y7" s="7"/>
      <c r="Z7" s="238"/>
      <c r="AA7" s="143"/>
      <c r="AB7" s="2"/>
      <c r="AC7" s="241"/>
      <c r="AD7" s="7"/>
      <c r="AF7" s="94" t="s">
        <v>134</v>
      </c>
      <c r="AG7" s="143">
        <f>AG5+AG6</f>
        <v>0</v>
      </c>
      <c r="AH7" s="144"/>
      <c r="AI7" s="143">
        <f>AI5+AI6</f>
        <v>0</v>
      </c>
      <c r="AJ7" s="146"/>
      <c r="AK7" s="143">
        <f>AK5+AK6</f>
        <v>0</v>
      </c>
      <c r="AL7" s="146"/>
      <c r="AM7" s="143">
        <f>AM5+AM6</f>
        <v>0</v>
      </c>
      <c r="AN7" s="2"/>
      <c r="AP7" s="143"/>
      <c r="AQ7" s="144"/>
      <c r="AR7" s="143"/>
      <c r="AS7" s="146"/>
      <c r="AT7" s="143"/>
      <c r="AU7" s="146"/>
      <c r="AV7" s="143"/>
      <c r="AW7" s="2"/>
    </row>
    <row r="8" spans="3:50" x14ac:dyDescent="0.35">
      <c r="I8" s="94"/>
      <c r="J8" s="200" t="s">
        <v>316</v>
      </c>
      <c r="K8" s="205">
        <f>IF(OR(K4="-",L4=""),K5,K5*K4%)</f>
        <v>0</v>
      </c>
      <c r="L8" s="187">
        <f>IF(OR(K4="-",L4=""),0,K5-K8)</f>
        <v>0</v>
      </c>
      <c r="M8" s="205">
        <f>IF(OR(M4="-",N4=""),M5,M5*M4%)</f>
        <v>0</v>
      </c>
      <c r="N8" s="187">
        <f>IF(OR(M4="-",N4=""),0,M5-M8)</f>
        <v>0</v>
      </c>
      <c r="O8" s="205">
        <f>IF(OR(O4="-",P4=""),O5,O5*O4%)</f>
        <v>0</v>
      </c>
      <c r="P8" s="187">
        <f>IF(OR(O4="-",P4=""),0,O5-O8)</f>
        <v>0</v>
      </c>
      <c r="Q8" s="205">
        <f>IF(OR(Q4="-",R4=""),Q5,Q5*Q4%)</f>
        <v>0</v>
      </c>
      <c r="R8" s="187">
        <f>IF(OR(Q4="-",R4=""),0,Q5-Q8)</f>
        <v>0</v>
      </c>
      <c r="S8" s="208" t="s">
        <v>348</v>
      </c>
      <c r="T8" t="s">
        <v>315</v>
      </c>
      <c r="W8" s="336">
        <f>IF(W5&lt;0,W4,IF(OR(W4="-",X4=""),W5,W5*W4%))</f>
        <v>1171.0006411821385</v>
      </c>
      <c r="X8" s="337">
        <f>IF(W5&lt;0,(100-W4),IF(OR(W4="-",X4=""),0,W5-W8))</f>
        <v>2732.3348294249899</v>
      </c>
      <c r="Y8" s="7"/>
      <c r="Z8" s="238"/>
      <c r="AA8" s="205"/>
      <c r="AB8" s="187"/>
      <c r="AC8" s="242"/>
      <c r="AD8" s="217"/>
      <c r="AF8" s="200" t="s">
        <v>316</v>
      </c>
      <c r="AG8" s="205">
        <f>IF(OR(AG4="-",AH4=""),AG5,AG5*AG4%)</f>
        <v>0</v>
      </c>
      <c r="AH8" s="187">
        <f>IF(OR(AG4="-",AH4=""),0,AG5-AG8)</f>
        <v>0</v>
      </c>
      <c r="AI8" s="205">
        <f>IF(OR(AI4="-",AJ4=""),AI5,AI5*AI4%)</f>
        <v>0</v>
      </c>
      <c r="AJ8" s="187">
        <f>IF(OR(AI4="-",AJ4=""),0,AI5-AI8)</f>
        <v>0</v>
      </c>
      <c r="AK8" s="205">
        <f>IF(OR(AK4="-",AL4=""),AK5,AK5*AK4%)</f>
        <v>0</v>
      </c>
      <c r="AL8" s="187">
        <f>IF(OR(AK4="-",AL4=""),0,AK5-AK8)</f>
        <v>0</v>
      </c>
      <c r="AM8" s="205">
        <f>IF(OR(AM4="-",AN4=""),AM5,AM5*AM4%)</f>
        <v>0</v>
      </c>
      <c r="AN8" s="187">
        <f>IF(OR(AM4="-",AN4=""),0,AM5-AM8)</f>
        <v>0</v>
      </c>
      <c r="AP8" s="205">
        <f>IF(OR(AP4="-",AQ4=""),AP5,AP5*AP4%)</f>
        <v>0</v>
      </c>
      <c r="AQ8" s="187">
        <f>IF(OR(AP4="-",AQ4=""),0,AP5-AP8)</f>
        <v>0</v>
      </c>
      <c r="AR8" s="205">
        <f>IF(OR(AR4="-",AS4=""),AR5,AR5*AR4%)</f>
        <v>0</v>
      </c>
      <c r="AS8" s="187">
        <f>IF(OR(AR4="-",AS4=""),0,AR5-AR8)</f>
        <v>0</v>
      </c>
      <c r="AT8" s="205">
        <f>IF(OR(AT4="-",AU4=""),AT5,AT5*AT4%)</f>
        <v>0</v>
      </c>
      <c r="AU8" s="187">
        <f>IF(OR(AT4="-",AU4=""),0,AT5-AT8)</f>
        <v>0</v>
      </c>
      <c r="AV8" s="205">
        <f>IF(OR(AV4="-",AW4=""),AV5,AV5*AV4%)</f>
        <v>0</v>
      </c>
      <c r="AW8" s="187">
        <f>IF(OR(AV4="-",AW4=""),0,AV5-AV8)</f>
        <v>0</v>
      </c>
    </row>
    <row r="9" spans="3:50" x14ac:dyDescent="0.35">
      <c r="I9" s="94"/>
      <c r="J9" s="201" t="s">
        <v>317</v>
      </c>
      <c r="K9" s="157">
        <f>'Penalty Calculator'!L27</f>
        <v>4.0500000000000001E-2</v>
      </c>
      <c r="L9" s="154">
        <f>IF(OR(K4="-",L4=""),0,VLOOKUP(L4,'Fuel Factors'!$B$3:$L$41,2,FALSE))</f>
        <v>0</v>
      </c>
      <c r="M9" s="157">
        <f>'Penalty Calculator'!O27</f>
        <v>4.1000000000000002E-2</v>
      </c>
      <c r="N9" s="154">
        <f>IF(OR(M4="-",N4=""),0,VLOOKUP(N4,'Fuel Factors'!$B$3:$L$41,2,FALSE))</f>
        <v>0</v>
      </c>
      <c r="O9" s="157">
        <f>'Penalty Calculator'!R27</f>
        <v>4.2700000000000002E-2</v>
      </c>
      <c r="P9" s="154">
        <f>IF(OR(O4="-",P4=""),0,VLOOKUP(P4,'Fuel Factors'!$B$3:$L$41,2,FALSE))</f>
        <v>0</v>
      </c>
      <c r="Q9" s="157">
        <f>'Penalty Calculator'!U27</f>
        <v>3.6999999999999998E-2</v>
      </c>
      <c r="R9" s="154">
        <f>IF(OR(Q4="-",R4=""),0,VLOOKUP(R4,'Fuel Factors'!$B$3:$L$41,2,FALSE))</f>
        <v>4.2700000000000002E-2</v>
      </c>
      <c r="W9" s="157">
        <f>'Penalty Calculator'!I50</f>
        <v>3.6999999999999998E-2</v>
      </c>
      <c r="X9" s="154">
        <f>IF(OR(W4="-",X4=""),0,VLOOKUP(X4,'Fuel Factors'!$B$3:$L$41,2,FALSE))</f>
        <v>4.2700000000000002E-2</v>
      </c>
      <c r="Y9" s="7"/>
      <c r="Z9" s="238"/>
      <c r="AA9" s="157"/>
      <c r="AB9" s="154"/>
      <c r="AC9" s="241"/>
      <c r="AD9" s="217"/>
      <c r="AF9" s="201" t="s">
        <v>317</v>
      </c>
      <c r="AG9" s="157">
        <f>'Penalty Calculator'!L27</f>
        <v>4.0500000000000001E-2</v>
      </c>
      <c r="AH9" s="154">
        <f>IF(OR(AG4="-",AH4=""),0,VLOOKUP(AH4,'Fuel Factors'!$B$3:$L$41,2,FALSE))</f>
        <v>0</v>
      </c>
      <c r="AI9" s="157">
        <f>'Penalty Calculator'!O27</f>
        <v>4.1000000000000002E-2</v>
      </c>
      <c r="AJ9" s="154">
        <f>IF(OR(AI4="-",AJ4=""),0,VLOOKUP(AJ4,'Fuel Factors'!$B$3:$L$41,2,FALSE))</f>
        <v>0</v>
      </c>
      <c r="AK9" s="157">
        <f>'Penalty Calculator'!R27</f>
        <v>4.2700000000000002E-2</v>
      </c>
      <c r="AL9" s="154">
        <f>IF(OR(AK4="-",AL4=""),0,VLOOKUP(AL4,'Fuel Factors'!$B$3:$L$41,2,FALSE))</f>
        <v>0</v>
      </c>
      <c r="AM9" s="157">
        <f>'Penalty Calculator'!U27</f>
        <v>3.6999999999999998E-2</v>
      </c>
      <c r="AN9" s="154">
        <f>IF(OR(AM4="-",AN4=""),0,VLOOKUP(AN4,'Fuel Factors'!$B$3:$L$41,2,FALSE))</f>
        <v>4.2700000000000002E-2</v>
      </c>
      <c r="AP9" s="157">
        <f>'Penalty Calculator'!M62</f>
        <v>3.6999999999999998E-2</v>
      </c>
      <c r="AQ9" s="154">
        <f>IF(OR(AP4="-",AQ4=""),0,VLOOKUP(AQ4,'Fuel Factors'!$B$3:$L$41,2,FALSE))</f>
        <v>4.0500000000000001E-2</v>
      </c>
      <c r="AR9" s="157">
        <f>'Penalty Calculator'!M63</f>
        <v>3.6999999999999998E-2</v>
      </c>
      <c r="AS9" s="154">
        <f>IF(OR(AR4="-",AS4=""),0,VLOOKUP(AS4,'Fuel Factors'!$B$3:$L$41,2,FALSE))</f>
        <v>4.1000000000000002E-2</v>
      </c>
      <c r="AT9" s="157">
        <f>'Penalty Calculator'!M64</f>
        <v>3.6999999999999998E-2</v>
      </c>
      <c r="AU9" s="154">
        <f>IF(OR(AT4="-",AU4=""),0,VLOOKUP(AU4,'Fuel Factors'!$B$3:$L$41,2,FALSE))</f>
        <v>4.2700000000000002E-2</v>
      </c>
      <c r="AV9" s="157">
        <f>'Penalty Calculator'!M65</f>
        <v>4.3999999999999997E-2</v>
      </c>
      <c r="AW9" s="154">
        <f>IF(OR(AV4="-",AW4=""),0,VLOOKUP(AW4,'Fuel Factors'!$B$3:$L$41,2,FALSE))</f>
        <v>4.2700000000000002E-2</v>
      </c>
      <c r="AX9" s="277"/>
    </row>
    <row r="10" spans="3:50" ht="15" thickBot="1" x14ac:dyDescent="0.4">
      <c r="I10" s="94"/>
      <c r="J10" s="201" t="s">
        <v>318</v>
      </c>
      <c r="K10" s="157">
        <f t="shared" ref="K10:R10" si="0">K8*K9</f>
        <v>0</v>
      </c>
      <c r="L10" s="154">
        <f t="shared" si="0"/>
        <v>0</v>
      </c>
      <c r="M10" s="157">
        <f t="shared" si="0"/>
        <v>0</v>
      </c>
      <c r="N10" s="154">
        <f t="shared" si="0"/>
        <v>0</v>
      </c>
      <c r="O10" s="157">
        <f t="shared" si="0"/>
        <v>0</v>
      </c>
      <c r="P10" s="154">
        <f t="shared" si="0"/>
        <v>0</v>
      </c>
      <c r="Q10" s="157">
        <f t="shared" si="0"/>
        <v>0</v>
      </c>
      <c r="R10" s="154">
        <f t="shared" si="0"/>
        <v>0</v>
      </c>
      <c r="S10" s="208" t="s">
        <v>348</v>
      </c>
      <c r="T10" t="s">
        <v>308</v>
      </c>
      <c r="W10" s="157">
        <f t="shared" ref="W10:X10" si="1">W8*W9</f>
        <v>43.327023723739117</v>
      </c>
      <c r="X10" s="154">
        <f t="shared" si="1"/>
        <v>116.67069721644708</v>
      </c>
      <c r="Y10" s="7"/>
      <c r="Z10" s="238"/>
      <c r="AA10" s="157"/>
      <c r="AB10" s="154"/>
      <c r="AC10" s="241"/>
      <c r="AD10" s="217"/>
      <c r="AF10" s="201" t="s">
        <v>318</v>
      </c>
      <c r="AG10" s="157">
        <f t="shared" ref="AG10:AH10" si="2">AG8*AG9</f>
        <v>0</v>
      </c>
      <c r="AH10" s="154">
        <f t="shared" si="2"/>
        <v>0</v>
      </c>
      <c r="AI10" s="157">
        <f t="shared" ref="AI10:AJ10" si="3">AI8*AI9</f>
        <v>0</v>
      </c>
      <c r="AJ10" s="154">
        <f t="shared" si="3"/>
        <v>0</v>
      </c>
      <c r="AK10" s="157">
        <f t="shared" ref="AK10:AL10" si="4">AK8*AK9</f>
        <v>0</v>
      </c>
      <c r="AL10" s="154">
        <f t="shared" si="4"/>
        <v>0</v>
      </c>
      <c r="AM10" s="157">
        <f t="shared" ref="AM10:AN10" si="5">AM8*AM9</f>
        <v>0</v>
      </c>
      <c r="AN10" s="154">
        <f t="shared" si="5"/>
        <v>0</v>
      </c>
      <c r="AP10" s="157">
        <f t="shared" ref="AP10:AW10" si="6">AP8*AP9</f>
        <v>0</v>
      </c>
      <c r="AQ10" s="154">
        <f t="shared" si="6"/>
        <v>0</v>
      </c>
      <c r="AR10" s="157">
        <f t="shared" si="6"/>
        <v>0</v>
      </c>
      <c r="AS10" s="154">
        <f t="shared" si="6"/>
        <v>0</v>
      </c>
      <c r="AT10" s="157">
        <f t="shared" si="6"/>
        <v>0</v>
      </c>
      <c r="AU10" s="154">
        <f t="shared" si="6"/>
        <v>0</v>
      </c>
      <c r="AV10" s="157">
        <f t="shared" si="6"/>
        <v>0</v>
      </c>
      <c r="AW10" s="154">
        <f t="shared" si="6"/>
        <v>0</v>
      </c>
    </row>
    <row r="11" spans="3:50" ht="15" thickBot="1" x14ac:dyDescent="0.4">
      <c r="I11" s="94"/>
      <c r="J11" s="201" t="s">
        <v>319</v>
      </c>
      <c r="K11" s="392">
        <f>K10+L10</f>
        <v>0</v>
      </c>
      <c r="L11" s="393"/>
      <c r="M11" s="392">
        <f>M10+N10</f>
        <v>0</v>
      </c>
      <c r="N11" s="393"/>
      <c r="O11" s="392">
        <f>O10+P10</f>
        <v>0</v>
      </c>
      <c r="P11" s="393"/>
      <c r="Q11" s="392">
        <f>Q10+R10</f>
        <v>0</v>
      </c>
      <c r="R11" s="393"/>
      <c r="W11" s="392">
        <f>W10+X10</f>
        <v>159.99772094018618</v>
      </c>
      <c r="X11" s="393"/>
      <c r="Y11" s="7"/>
      <c r="Z11" s="238"/>
      <c r="AA11" s="392"/>
      <c r="AB11" s="393"/>
      <c r="AC11" s="243"/>
      <c r="AD11" s="223"/>
      <c r="AF11" s="201" t="s">
        <v>319</v>
      </c>
      <c r="AG11" s="392">
        <f>AG10+AH10</f>
        <v>0</v>
      </c>
      <c r="AH11" s="393"/>
      <c r="AI11" s="392">
        <f>AI10+AJ10</f>
        <v>0</v>
      </c>
      <c r="AJ11" s="393"/>
      <c r="AK11" s="392">
        <f>AK10+AL10</f>
        <v>0</v>
      </c>
      <c r="AL11" s="393"/>
      <c r="AM11" s="392">
        <f>AM10+AN10</f>
        <v>0</v>
      </c>
      <c r="AN11" s="393"/>
      <c r="AP11" s="392">
        <f>AP10+AQ10</f>
        <v>0</v>
      </c>
      <c r="AQ11" s="393"/>
      <c r="AR11" s="392">
        <f>AR10+AS10</f>
        <v>0</v>
      </c>
      <c r="AS11" s="393"/>
      <c r="AT11" s="392">
        <f>AT10+AU10</f>
        <v>0</v>
      </c>
      <c r="AU11" s="393"/>
      <c r="AV11" s="392">
        <f>AV10+AW10</f>
        <v>0</v>
      </c>
      <c r="AW11" s="393"/>
    </row>
    <row r="12" spans="3:50" x14ac:dyDescent="0.35">
      <c r="I12" s="94"/>
      <c r="J12" s="201" t="s">
        <v>320</v>
      </c>
      <c r="K12" s="399">
        <f>IF(OR('Penalty Calculator'!$E$6="1A",'Penalty Calculator'!$E$6="1A SUPER"),(K11*'Penalty Calculator'!$U$4)-((K11*'Penalty Calculator'!$U$4)*5%),(K11*'Penalty Calculator'!$U$4))</f>
        <v>0</v>
      </c>
      <c r="L12" s="400"/>
      <c r="M12" s="403">
        <f>IF(OR('Penalty Calculator'!$E$6="1A",'Penalty Calculator'!$E$6="1A SUPER"),(M11*'Penalty Calculator'!$U$4)-((M11*'Penalty Calculator'!$U$4)*5%),(M11*'Penalty Calculator'!$U$4))</f>
        <v>0</v>
      </c>
      <c r="N12" s="404"/>
      <c r="O12" s="403">
        <f>IF(OR('Penalty Calculator'!$E$6="1A",'Penalty Calculator'!$E$6="1A SUPER"),(O11*'Penalty Calculator'!$U$4)-((O11*'Penalty Calculator'!$U$4)*5%),(O11*'Penalty Calculator'!$U$4))</f>
        <v>0</v>
      </c>
      <c r="P12" s="404"/>
      <c r="Q12" s="403">
        <f>IF(OR('Penalty Calculator'!$E$6="1A",'Penalty Calculator'!$E$6="1A SUPER"),(Q11*'Penalty Calculator'!$U$4)-((Q11*'Penalty Calculator'!$U$4)*5%),(Q11*'Penalty Calculator'!$U$4))</f>
        <v>0</v>
      </c>
      <c r="R12" s="404"/>
      <c r="S12" s="208" t="s">
        <v>348</v>
      </c>
      <c r="T12" t="s">
        <v>337</v>
      </c>
      <c r="W12" s="403">
        <f>IF(OR('Penalty Calculator'!$E$6="1A",'Penalty Calculator'!$E$6="1A SUPER"),(W11-(W11*5%)),(W11))</f>
        <v>159.99772094018618</v>
      </c>
      <c r="X12" s="404"/>
      <c r="Y12" s="7"/>
      <c r="Z12" s="238"/>
      <c r="AA12" s="403"/>
      <c r="AB12" s="404"/>
      <c r="AC12" s="243"/>
      <c r="AD12" s="223"/>
      <c r="AF12" s="201" t="s">
        <v>320</v>
      </c>
      <c r="AG12" s="399">
        <f>IF(OR('Penalty Calculator'!$E$6="1A",'Penalty Calculator'!$E$6="1A SUPER"),(AG11*'Penalty Calculator'!$U$4)-((AG11*'Penalty Calculator'!$U$4)*5%),(AG11*'Penalty Calculator'!$U$4))</f>
        <v>0</v>
      </c>
      <c r="AH12" s="400"/>
      <c r="AI12" s="399">
        <f>IF(OR('Penalty Calculator'!$E$6="1A",'Penalty Calculator'!$E$6="1A SUPER"),(AI11*'Penalty Calculator'!$U$4)-((AI11*'Penalty Calculator'!$U$4)*5%),(AI11*'Penalty Calculator'!$U$4))</f>
        <v>0</v>
      </c>
      <c r="AJ12" s="400"/>
      <c r="AK12" s="399">
        <f>IF(OR('Penalty Calculator'!$E$6="1A",'Penalty Calculator'!$E$6="1A SUPER"),(AK11*'Penalty Calculator'!$U$4)-((AK11*'Penalty Calculator'!$U$4)*5%),(AK11*'Penalty Calculator'!$U$4))</f>
        <v>0</v>
      </c>
      <c r="AL12" s="400"/>
      <c r="AM12" s="399">
        <f>IF(OR('Penalty Calculator'!$E$6="1A",'Penalty Calculator'!$E$6="1A SUPER"),(AM11*'Penalty Calculator'!$U$4)-((AM11*'Penalty Calculator'!$U$4)*5%),(AM11*'Penalty Calculator'!$U$4))</f>
        <v>0</v>
      </c>
      <c r="AN12" s="400"/>
      <c r="AP12" s="399">
        <f>IF(OR('Penalty Calculator'!$E$6="1A",'Penalty Calculator'!$E$6="1A SUPER"),(AP11*'Penalty Calculator'!$U$4)-((AP11*'Penalty Calculator'!$U$4)*5%),(AP11*'Penalty Calculator'!$U$4))</f>
        <v>0</v>
      </c>
      <c r="AQ12" s="400"/>
      <c r="AR12" s="399">
        <f>IF(OR('Penalty Calculator'!$E$6="1A",'Penalty Calculator'!$E$6="1A SUPER"),(AR11*'Penalty Calculator'!$U$4)-((AR11*'Penalty Calculator'!$U$4)*5%),(AR11*'Penalty Calculator'!$U$4))</f>
        <v>0</v>
      </c>
      <c r="AS12" s="400"/>
      <c r="AT12" s="399">
        <f>IF(OR('Penalty Calculator'!$E$6="1A",'Penalty Calculator'!$E$6="1A SUPER"),(AT11*'Penalty Calculator'!$U$4)-((AT11*'Penalty Calculator'!$U$4)*5%),(AT11*'Penalty Calculator'!$U$4))</f>
        <v>0</v>
      </c>
      <c r="AU12" s="400"/>
      <c r="AV12" s="399">
        <f>IF(OR('Penalty Calculator'!$E$6="1A",'Penalty Calculator'!$E$6="1A SUPER"),(AV11*'Penalty Calculator'!$U$4)-((AV11*'Penalty Calculator'!$U$4)*5%),(AV11*'Penalty Calculator'!$U$4))</f>
        <v>0</v>
      </c>
      <c r="AW12" s="400"/>
    </row>
    <row r="13" spans="3:50" ht="15" thickBot="1" x14ac:dyDescent="0.4">
      <c r="I13" s="94"/>
      <c r="J13" s="202" t="s">
        <v>321</v>
      </c>
      <c r="K13" s="203">
        <f>IF(K12&lt;K10,K12,K10)</f>
        <v>0</v>
      </c>
      <c r="L13" s="204">
        <f>IF(K12&gt;K10,K12-K10,0)</f>
        <v>0</v>
      </c>
      <c r="M13" s="203">
        <f>IF(M12&lt;M10,M12,M10)</f>
        <v>0</v>
      </c>
      <c r="N13" s="204">
        <f>IF(M12&gt;M10,M12-M10,0)</f>
        <v>0</v>
      </c>
      <c r="O13" s="203">
        <f>IF(O12&lt;O10,O12,O10)</f>
        <v>0</v>
      </c>
      <c r="P13" s="204">
        <f>IF(O12&gt;O10,O12-O10,0)</f>
        <v>0</v>
      </c>
      <c r="Q13" s="203">
        <f>IF(Q12&lt;Q10,Q12,Q10)</f>
        <v>0</v>
      </c>
      <c r="R13" s="204">
        <f>IF(Q12&gt;Q10,Q12-Q10,0)</f>
        <v>0</v>
      </c>
      <c r="W13" s="203">
        <f>IF(W12&lt;W10,W12,W10)</f>
        <v>43.327023723739117</v>
      </c>
      <c r="X13" s="204">
        <f>IF(W12&gt;W10,W12-W10,0)</f>
        <v>116.67069721644707</v>
      </c>
      <c r="Y13" s="7"/>
      <c r="Z13" s="238"/>
      <c r="AA13" s="203"/>
      <c r="AB13" s="204"/>
      <c r="AC13" s="244"/>
      <c r="AD13" s="218"/>
      <c r="AF13" s="202" t="s">
        <v>321</v>
      </c>
      <c r="AG13" s="203">
        <f>IF(AG12&lt;AG10,AG12,AG10)</f>
        <v>0</v>
      </c>
      <c r="AH13" s="204">
        <f>IF(AG12&gt;AG10,AG12-AG10,0)</f>
        <v>0</v>
      </c>
      <c r="AI13" s="203">
        <f>IF(AI12&lt;AI10,AI12,AI10)</f>
        <v>0</v>
      </c>
      <c r="AJ13" s="204">
        <f>IF(AI12&gt;AI10,AI12-AI10,0)</f>
        <v>0</v>
      </c>
      <c r="AK13" s="203">
        <f>IF(AK12&lt;AK10,AK12,AK10)</f>
        <v>0</v>
      </c>
      <c r="AL13" s="204">
        <f>IF(AK12&gt;AK10,AK12-AK10,0)</f>
        <v>0</v>
      </c>
      <c r="AM13" s="203">
        <f>IF(AM12&lt;AM10,AM12,AM10)</f>
        <v>0</v>
      </c>
      <c r="AN13" s="204">
        <f>IF(AM12&gt;AM10,AM12-AM10,0)</f>
        <v>0</v>
      </c>
      <c r="AP13" s="203">
        <f>IF(AP12&lt;AP10,AP12,AP10)</f>
        <v>0</v>
      </c>
      <c r="AQ13" s="204">
        <f>IF(AP12&gt;AP10,AP12-AP10,0)</f>
        <v>0</v>
      </c>
      <c r="AR13" s="203">
        <f>IF(AR12&lt;AR10,AR12,AR10)</f>
        <v>0</v>
      </c>
      <c r="AS13" s="204">
        <f>IF(AR12&gt;AR10,AR12-AR10,0)</f>
        <v>0</v>
      </c>
      <c r="AT13" s="203">
        <f>IF(AT12&lt;AT10,AT12,AT10)</f>
        <v>0</v>
      </c>
      <c r="AU13" s="204">
        <f>IF(AT12&gt;AT10,AT12-AT10,0)</f>
        <v>0</v>
      </c>
      <c r="AV13" s="203">
        <f>IF(AV12&lt;AV10,AV12,AV10)</f>
        <v>0</v>
      </c>
      <c r="AW13" s="204">
        <f>IF(AV12&gt;AV10,AV12-AV10,0)</f>
        <v>0</v>
      </c>
    </row>
    <row r="14" spans="3:50" x14ac:dyDescent="0.35">
      <c r="I14" s="94"/>
      <c r="J14" s="200" t="s">
        <v>322</v>
      </c>
      <c r="K14" s="205">
        <f>IF(OR(K4="-",L4=""),K6,K6*K4%)</f>
        <v>0</v>
      </c>
      <c r="L14" s="187">
        <f>IF(OR(K4="-",L4=""),0,K6-K14)</f>
        <v>0</v>
      </c>
      <c r="M14" s="205">
        <f>IF(OR(M4="-",N4=""),M6,M6*M4%)</f>
        <v>0</v>
      </c>
      <c r="N14" s="187">
        <f>IF(OR(M4="-",N4=""),0,M6-M14)</f>
        <v>0</v>
      </c>
      <c r="O14" s="205">
        <f>IF(OR(O4="-",P4=""),O6,O6*O4%)</f>
        <v>0</v>
      </c>
      <c r="P14" s="187">
        <f>IF(OR(O4="-",P4=""),0,O6-O14)</f>
        <v>0</v>
      </c>
      <c r="Q14" s="205">
        <f>IF(OR(Q4="-",R4=""),Q6,Q6*Q4%)</f>
        <v>0</v>
      </c>
      <c r="R14" s="187">
        <f>IF(OR(Q4="-",R4=""),0,Q6-Q14)</f>
        <v>0</v>
      </c>
      <c r="W14" s="205">
        <f>IF(OR(W4="-",X4=""),W6,W6*W4%)</f>
        <v>0</v>
      </c>
      <c r="X14" s="187">
        <f>IF(OR(W4="-",X4=""),0,W6-W14)</f>
        <v>0</v>
      </c>
      <c r="Y14" s="7"/>
      <c r="Z14" s="238"/>
      <c r="AA14" s="205"/>
      <c r="AB14" s="187"/>
      <c r="AC14" s="242"/>
      <c r="AD14" s="217"/>
      <c r="AF14" s="200" t="s">
        <v>322</v>
      </c>
      <c r="AG14" s="205">
        <f>IF(OR(AG4="-",AH4=""),AG6,AG6*AG4%)</f>
        <v>0</v>
      </c>
      <c r="AH14" s="187">
        <f>IF(OR(AG4="-",AH4=""),0,AG6-AG14)</f>
        <v>0</v>
      </c>
      <c r="AI14" s="205">
        <f>IF(OR(AI4="-",AJ4=""),AI6,AI6*AI4%)</f>
        <v>0</v>
      </c>
      <c r="AJ14" s="187">
        <f>IF(OR(AI4="-",AJ4=""),0,AI6-AI14)</f>
        <v>0</v>
      </c>
      <c r="AK14" s="205">
        <f>IF(OR(AK4="-",AL4=""),AK6,AK6*AK4%)</f>
        <v>0</v>
      </c>
      <c r="AL14" s="187">
        <f>IF(OR(AK4="-",AL4=""),0,AK6-AK14)</f>
        <v>0</v>
      </c>
      <c r="AM14" s="205">
        <f>IF(OR(AM4="-",AN4=""),AM6,AM6*AM4%)</f>
        <v>0</v>
      </c>
      <c r="AN14" s="187">
        <f>IF(OR(AM4="-",AN4=""),0,AM6-AM14)</f>
        <v>0</v>
      </c>
      <c r="AP14" s="205">
        <f>IF(OR(AP4="-",AQ4=""),AP6,AP6*AP4%)</f>
        <v>0</v>
      </c>
      <c r="AQ14" s="187">
        <f>IF(OR(AP4="-",AQ4=""),0,AP6-AP14)</f>
        <v>0</v>
      </c>
      <c r="AR14" s="205">
        <f>IF(OR(AR4="-",AS4=""),AR6,AR6*AR4%)</f>
        <v>0</v>
      </c>
      <c r="AS14" s="187">
        <f>IF(OR(AR4="-",AS4=""),0,AR6-AR14)</f>
        <v>0</v>
      </c>
      <c r="AT14" s="205">
        <f>IF(OR(AT4="-",AU4=""),AT6,AT6*AT4%)</f>
        <v>0</v>
      </c>
      <c r="AU14" s="187">
        <f>IF(OR(AT4="-",AU4=""),0,AT6-AT14)</f>
        <v>0</v>
      </c>
      <c r="AV14" s="205">
        <f>IF(OR(AV4="-",AW4=""),AV6,AV6*AV4%)</f>
        <v>0</v>
      </c>
      <c r="AW14" s="187">
        <f>IF(OR(AV4="-",AW4=""),0,AV6-AV14)</f>
        <v>0</v>
      </c>
    </row>
    <row r="15" spans="3:50" x14ac:dyDescent="0.35">
      <c r="I15" s="94"/>
      <c r="J15" s="201" t="s">
        <v>323</v>
      </c>
      <c r="K15" s="210">
        <f>'Penalty Calculator'!L27</f>
        <v>4.0500000000000001E-2</v>
      </c>
      <c r="L15" s="211">
        <f>IF(OR(K4="-",L4=""),0,VLOOKUP(L4,'Fuel Factors'!$B$3:$L$41,2,FALSE))</f>
        <v>0</v>
      </c>
      <c r="M15" s="210">
        <f>'Penalty Calculator'!O27</f>
        <v>4.1000000000000002E-2</v>
      </c>
      <c r="N15" s="211">
        <f>IF(OR(M4="-",N4=""),0,VLOOKUP(N4,'Fuel Factors'!$B$3:$L$41,2,FALSE))</f>
        <v>0</v>
      </c>
      <c r="O15" s="210">
        <f>'Penalty Calculator'!R27</f>
        <v>4.2700000000000002E-2</v>
      </c>
      <c r="P15" s="211">
        <f>IF(OR(O4="-",P4=""),0,VLOOKUP(P4,'Fuel Factors'!$B$3:$L$41,2,FALSE))</f>
        <v>0</v>
      </c>
      <c r="Q15" s="210">
        <f>'Penalty Calculator'!U27</f>
        <v>3.6999999999999998E-2</v>
      </c>
      <c r="R15" s="211">
        <f>IF(OR(Q4="-",R4=""),0,VLOOKUP(R4,'Fuel Factors'!$B$3:$L$41,2,FALSE))</f>
        <v>4.2700000000000002E-2</v>
      </c>
      <c r="W15" s="181">
        <f>'Penalty Calculator'!I50</f>
        <v>3.6999999999999998E-2</v>
      </c>
      <c r="X15" s="154">
        <f>IF(OR(W4="-",X4=""),0,VLOOKUP(X4,'Fuel Factors'!$B$3:$L$41,2,FALSE))</f>
        <v>4.2700000000000002E-2</v>
      </c>
      <c r="Y15" s="7"/>
      <c r="Z15" s="238"/>
      <c r="AA15" s="210"/>
      <c r="AB15" s="211"/>
      <c r="AC15" s="244"/>
      <c r="AD15" s="217"/>
      <c r="AF15" s="201" t="s">
        <v>323</v>
      </c>
      <c r="AG15" s="210">
        <f>'Penalty Calculator'!L27</f>
        <v>4.0500000000000001E-2</v>
      </c>
      <c r="AH15" s="211">
        <f>IF(OR(AG4="-",AH4=""),0,VLOOKUP(AH4,'Fuel Factors'!$B$3:$L$41,2,FALSE))</f>
        <v>0</v>
      </c>
      <c r="AI15" s="210">
        <f>'Penalty Calculator'!O27</f>
        <v>4.1000000000000002E-2</v>
      </c>
      <c r="AJ15" s="211">
        <f>IF(OR(AI4="-",AJ4=""),0,VLOOKUP(AJ4,'Fuel Factors'!$B$3:$L$41,2,FALSE))</f>
        <v>0</v>
      </c>
      <c r="AK15" s="210">
        <f>'Penalty Calculator'!R27</f>
        <v>4.2700000000000002E-2</v>
      </c>
      <c r="AL15" s="211">
        <f>IF(OR(AK4="-",AL4=""),0,VLOOKUP(AL4,'Fuel Factors'!$B$3:$L$41,2,FALSE))</f>
        <v>0</v>
      </c>
      <c r="AM15" s="210">
        <f>'Penalty Calculator'!U27</f>
        <v>3.6999999999999998E-2</v>
      </c>
      <c r="AN15" s="211">
        <f>IF(OR(AM4="-",AN4=""),0,VLOOKUP(AN4,'Fuel Factors'!$B$3:$L$41,2,FALSE))</f>
        <v>4.2700000000000002E-2</v>
      </c>
      <c r="AP15" s="210">
        <f>'Penalty Calculator'!M62</f>
        <v>3.6999999999999998E-2</v>
      </c>
      <c r="AQ15" s="211">
        <f>IF(OR(AP4="-",AQ4=""),0,VLOOKUP(AQ4,'Fuel Factors'!$B$3:$L$41,2,FALSE))</f>
        <v>4.0500000000000001E-2</v>
      </c>
      <c r="AR15" s="210">
        <f>'Penalty Calculator'!M63</f>
        <v>3.6999999999999998E-2</v>
      </c>
      <c r="AS15" s="211">
        <f>IF(OR(AR4="-",AS4=""),0,VLOOKUP(AS4,'Fuel Factors'!$B$3:$L$41,2,FALSE))</f>
        <v>4.1000000000000002E-2</v>
      </c>
      <c r="AT15" s="210">
        <f>'Penalty Calculator'!M64</f>
        <v>3.6999999999999998E-2</v>
      </c>
      <c r="AU15" s="211">
        <f>IF(OR(AT4="-",AU4=""),0,VLOOKUP(AU4,'Fuel Factors'!$B$3:$L$41,2,FALSE))</f>
        <v>4.2700000000000002E-2</v>
      </c>
      <c r="AV15" s="210">
        <f>'Penalty Calculator'!M65</f>
        <v>4.3999999999999997E-2</v>
      </c>
      <c r="AW15" s="211">
        <f>IF(OR(AV4="-",AW4=""),0,VLOOKUP(AW4,'Fuel Factors'!$B$3:$L$41,2,FALSE))</f>
        <v>4.2700000000000002E-2</v>
      </c>
      <c r="AX15" s="277"/>
    </row>
    <row r="16" spans="3:50" x14ac:dyDescent="0.35">
      <c r="I16" s="94"/>
      <c r="J16" s="201" t="s">
        <v>324</v>
      </c>
      <c r="K16" s="181">
        <f t="shared" ref="K16:R16" si="7">K14*K15</f>
        <v>0</v>
      </c>
      <c r="L16" s="183">
        <f t="shared" si="7"/>
        <v>0</v>
      </c>
      <c r="M16" s="181">
        <f t="shared" si="7"/>
        <v>0</v>
      </c>
      <c r="N16" s="183">
        <f t="shared" si="7"/>
        <v>0</v>
      </c>
      <c r="O16" s="181">
        <f t="shared" si="7"/>
        <v>0</v>
      </c>
      <c r="P16" s="183">
        <f t="shared" si="7"/>
        <v>0</v>
      </c>
      <c r="Q16" s="181">
        <f t="shared" si="7"/>
        <v>0</v>
      </c>
      <c r="R16" s="183">
        <f t="shared" si="7"/>
        <v>0</v>
      </c>
      <c r="S16" s="208" t="s">
        <v>348</v>
      </c>
      <c r="T16" t="s">
        <v>308</v>
      </c>
      <c r="W16" s="181">
        <f t="shared" ref="W16" si="8">W14*W15</f>
        <v>0</v>
      </c>
      <c r="X16" s="183">
        <f t="shared" ref="X16" si="9">X14*X15</f>
        <v>0</v>
      </c>
      <c r="Y16" s="7"/>
      <c r="Z16" s="238"/>
      <c r="AA16" s="181"/>
      <c r="AB16" s="183"/>
      <c r="AC16" s="244"/>
      <c r="AD16" s="218"/>
      <c r="AF16" s="201" t="s">
        <v>324</v>
      </c>
      <c r="AG16" s="181">
        <f t="shared" ref="AG16:AH16" si="10">AG14*AG15</f>
        <v>0</v>
      </c>
      <c r="AH16" s="183">
        <f t="shared" si="10"/>
        <v>0</v>
      </c>
      <c r="AI16" s="181">
        <f t="shared" ref="AI16:AJ16" si="11">AI14*AI15</f>
        <v>0</v>
      </c>
      <c r="AJ16" s="183">
        <f t="shared" si="11"/>
        <v>0</v>
      </c>
      <c r="AK16" s="181">
        <f t="shared" ref="AK16:AL16" si="12">AK14*AK15</f>
        <v>0</v>
      </c>
      <c r="AL16" s="183">
        <f t="shared" si="12"/>
        <v>0</v>
      </c>
      <c r="AM16" s="181">
        <f t="shared" ref="AM16:AN16" si="13">AM14*AM15</f>
        <v>0</v>
      </c>
      <c r="AN16" s="183">
        <f t="shared" si="13"/>
        <v>0</v>
      </c>
      <c r="AP16" s="181">
        <f t="shared" ref="AP16:AW16" si="14">AP14*AP15</f>
        <v>0</v>
      </c>
      <c r="AQ16" s="183">
        <f t="shared" si="14"/>
        <v>0</v>
      </c>
      <c r="AR16" s="181">
        <f t="shared" si="14"/>
        <v>0</v>
      </c>
      <c r="AS16" s="183">
        <f t="shared" si="14"/>
        <v>0</v>
      </c>
      <c r="AT16" s="181">
        <f t="shared" si="14"/>
        <v>0</v>
      </c>
      <c r="AU16" s="183">
        <f t="shared" si="14"/>
        <v>0</v>
      </c>
      <c r="AV16" s="181">
        <f t="shared" si="14"/>
        <v>0</v>
      </c>
      <c r="AW16" s="183">
        <f t="shared" si="14"/>
        <v>0</v>
      </c>
    </row>
    <row r="17" spans="6:50" x14ac:dyDescent="0.35">
      <c r="I17" s="94"/>
      <c r="J17" s="201" t="s">
        <v>325</v>
      </c>
      <c r="K17" s="394">
        <f>K16+L16</f>
        <v>0</v>
      </c>
      <c r="L17" s="395"/>
      <c r="M17" s="394">
        <f>M16+N16</f>
        <v>0</v>
      </c>
      <c r="N17" s="395"/>
      <c r="O17" s="394">
        <f>O16+P16</f>
        <v>0</v>
      </c>
      <c r="P17" s="395"/>
      <c r="Q17" s="394">
        <f>Q16+R16</f>
        <v>0</v>
      </c>
      <c r="R17" s="395"/>
      <c r="W17" s="394">
        <f>W16+X16</f>
        <v>0</v>
      </c>
      <c r="X17" s="395"/>
      <c r="Y17" s="7"/>
      <c r="Z17" s="238"/>
      <c r="AA17" s="394"/>
      <c r="AB17" s="395"/>
      <c r="AC17" s="245"/>
      <c r="AD17" s="222"/>
      <c r="AF17" s="201" t="s">
        <v>325</v>
      </c>
      <c r="AG17" s="394">
        <f>AG16+AH16</f>
        <v>0</v>
      </c>
      <c r="AH17" s="395"/>
      <c r="AI17" s="394">
        <f>AI16+AJ16</f>
        <v>0</v>
      </c>
      <c r="AJ17" s="395"/>
      <c r="AK17" s="394">
        <f>AK16+AL16</f>
        <v>0</v>
      </c>
      <c r="AL17" s="395"/>
      <c r="AM17" s="394">
        <f>AM16+AN16</f>
        <v>0</v>
      </c>
      <c r="AN17" s="395"/>
      <c r="AP17" s="394">
        <f>AP16+AQ16</f>
        <v>0</v>
      </c>
      <c r="AQ17" s="395"/>
      <c r="AR17" s="394">
        <f>AR16+AS16</f>
        <v>0</v>
      </c>
      <c r="AS17" s="395"/>
      <c r="AT17" s="394">
        <f>AT16+AU16</f>
        <v>0</v>
      </c>
      <c r="AU17" s="395"/>
      <c r="AV17" s="394">
        <f>AV16+AW16</f>
        <v>0</v>
      </c>
      <c r="AW17" s="395"/>
    </row>
    <row r="18" spans="6:50" x14ac:dyDescent="0.35">
      <c r="I18" s="94"/>
      <c r="J18" s="201" t="s">
        <v>326</v>
      </c>
      <c r="K18" s="394">
        <f>K17*'Penalty Calculator'!$AD$4</f>
        <v>0</v>
      </c>
      <c r="L18" s="395"/>
      <c r="M18" s="394">
        <f>M17*'Penalty Calculator'!$AD$4</f>
        <v>0</v>
      </c>
      <c r="N18" s="395"/>
      <c r="O18" s="394">
        <f>O17*'Penalty Calculator'!$AD$4</f>
        <v>0</v>
      </c>
      <c r="P18" s="395"/>
      <c r="Q18" s="394">
        <f>Q17*'Penalty Calculator'!$AD$4</f>
        <v>0</v>
      </c>
      <c r="R18" s="395"/>
      <c r="S18" s="208" t="s">
        <v>348</v>
      </c>
      <c r="T18" t="s">
        <v>338</v>
      </c>
      <c r="W18" s="394">
        <f>W17*'Penalty Calculator'!$AD$4</f>
        <v>0</v>
      </c>
      <c r="X18" s="395"/>
      <c r="Y18" s="7"/>
      <c r="Z18" s="238"/>
      <c r="AA18" s="394"/>
      <c r="AB18" s="395"/>
      <c r="AC18" s="245"/>
      <c r="AD18" s="222"/>
      <c r="AF18" s="201" t="s">
        <v>326</v>
      </c>
      <c r="AG18" s="394">
        <f>AG17*'Penalty Calculator'!$AD$4</f>
        <v>0</v>
      </c>
      <c r="AH18" s="395"/>
      <c r="AI18" s="394">
        <f>AI17*'Penalty Calculator'!$AD$4</f>
        <v>0</v>
      </c>
      <c r="AJ18" s="395"/>
      <c r="AK18" s="394">
        <f>AK17*'Penalty Calculator'!$AD$4</f>
        <v>0</v>
      </c>
      <c r="AL18" s="395"/>
      <c r="AM18" s="394">
        <f>AM17*'Penalty Calculator'!$AD$4</f>
        <v>0</v>
      </c>
      <c r="AN18" s="395"/>
      <c r="AP18" s="394">
        <f>AP17*'Penalty Calculator'!$AD$4</f>
        <v>0</v>
      </c>
      <c r="AQ18" s="395"/>
      <c r="AR18" s="394">
        <f>AR17*'Penalty Calculator'!$AD$4</f>
        <v>0</v>
      </c>
      <c r="AS18" s="395"/>
      <c r="AT18" s="394">
        <f>AT17*'Penalty Calculator'!$AD$4</f>
        <v>0</v>
      </c>
      <c r="AU18" s="395"/>
      <c r="AV18" s="394">
        <f>AV17*'Penalty Calculator'!$AD$4</f>
        <v>0</v>
      </c>
      <c r="AW18" s="395"/>
    </row>
    <row r="19" spans="6:50" ht="15" thickBot="1" x14ac:dyDescent="0.4">
      <c r="I19" s="94"/>
      <c r="J19" s="202" t="s">
        <v>327</v>
      </c>
      <c r="K19" s="203">
        <f>IF(K18&lt;K16,K18,K16)</f>
        <v>0</v>
      </c>
      <c r="L19" s="204">
        <f>IF(K18&gt;K16,K18-K16,0)</f>
        <v>0</v>
      </c>
      <c r="M19" s="203">
        <f>IF(M18&lt;M16,M18,M16)</f>
        <v>0</v>
      </c>
      <c r="N19" s="204">
        <f>IF(M18&gt;M16,M18-M16,0)</f>
        <v>0</v>
      </c>
      <c r="O19" s="203">
        <f>IF(O18&lt;O16,O18,O16)</f>
        <v>0</v>
      </c>
      <c r="P19" s="204">
        <f>IF(O18&gt;O16,O18-O16,0)</f>
        <v>0</v>
      </c>
      <c r="Q19" s="203">
        <f>IF(Q18&lt;Q16,Q18,Q16)</f>
        <v>0</v>
      </c>
      <c r="R19" s="204">
        <f>IF(Q18&gt;Q16,Q18-Q16,0)</f>
        <v>0</v>
      </c>
      <c r="W19" s="203">
        <f>IF(W18&lt;W16,W18,W16)</f>
        <v>0</v>
      </c>
      <c r="X19" s="204">
        <f>IF(W18&gt;W16,W18-W16,0)</f>
        <v>0</v>
      </c>
      <c r="Y19" s="7"/>
      <c r="Z19" s="238"/>
      <c r="AA19" s="203"/>
      <c r="AB19" s="204"/>
      <c r="AC19" s="244"/>
      <c r="AD19" s="218"/>
      <c r="AF19" s="202" t="s">
        <v>327</v>
      </c>
      <c r="AG19" s="203">
        <f>IF(AG18&lt;AG16,AG18,AG16)</f>
        <v>0</v>
      </c>
      <c r="AH19" s="204">
        <f>IF(AG18&gt;AG16,AG18-AG16,0)</f>
        <v>0</v>
      </c>
      <c r="AI19" s="203">
        <f>IF(AI18&lt;AI16,AI18,AI16)</f>
        <v>0</v>
      </c>
      <c r="AJ19" s="204">
        <f>IF(AI18&gt;AI16,AI18-AI16,0)</f>
        <v>0</v>
      </c>
      <c r="AK19" s="203">
        <f>IF(AK18&lt;AK16,AK18,AK16)</f>
        <v>0</v>
      </c>
      <c r="AL19" s="204">
        <f>IF(AK18&gt;AK16,AK18-AK16,0)</f>
        <v>0</v>
      </c>
      <c r="AM19" s="203">
        <f>IF(AM18&lt;AM16,AM18,AM16)</f>
        <v>0</v>
      </c>
      <c r="AN19" s="204">
        <f>IF(AM18&gt;AM16,AM18-AM16,0)</f>
        <v>0</v>
      </c>
      <c r="AP19" s="203">
        <f>IF(AP18&lt;AP16,AP18,AP16)</f>
        <v>0</v>
      </c>
      <c r="AQ19" s="204">
        <f>IF(AP18&gt;AP16,AP18-AP16,0)</f>
        <v>0</v>
      </c>
      <c r="AR19" s="203">
        <f>IF(AR18&lt;AR16,AR18,AR16)</f>
        <v>0</v>
      </c>
      <c r="AS19" s="204">
        <f>IF(AR18&gt;AR16,AR18-AR16,0)</f>
        <v>0</v>
      </c>
      <c r="AT19" s="203">
        <f>IF(AT18&lt;AT16,AT18,AT16)</f>
        <v>0</v>
      </c>
      <c r="AU19" s="204">
        <f>IF(AT18&gt;AT16,AT18-AT16,0)</f>
        <v>0</v>
      </c>
      <c r="AV19" s="203">
        <f>IF(AV18&lt;AV16,AV18,AV16)</f>
        <v>0</v>
      </c>
      <c r="AW19" s="204">
        <f>IF(AV18&gt;AV16,AV18-AV16,0)</f>
        <v>0</v>
      </c>
    </row>
    <row r="20" spans="6:50" ht="15" thickBot="1" x14ac:dyDescent="0.4">
      <c r="I20" s="94"/>
      <c r="J20" s="94"/>
      <c r="K20" s="182"/>
      <c r="L20" s="184"/>
      <c r="M20" s="182"/>
      <c r="N20" s="184"/>
      <c r="O20" s="182"/>
      <c r="P20" s="184"/>
      <c r="Q20" s="182"/>
      <c r="R20" s="184"/>
      <c r="W20" s="182"/>
      <c r="X20" s="184"/>
      <c r="Y20" s="7"/>
      <c r="Z20" s="238"/>
      <c r="AA20" s="182"/>
      <c r="AB20" s="184"/>
      <c r="AC20" s="246"/>
      <c r="AD20" s="219"/>
      <c r="AF20" s="94"/>
      <c r="AG20" s="182"/>
      <c r="AH20" s="184"/>
      <c r="AI20" s="182"/>
      <c r="AJ20" s="184"/>
      <c r="AK20" s="182"/>
      <c r="AL20" s="184"/>
      <c r="AM20" s="182"/>
      <c r="AN20" s="184"/>
      <c r="AP20" s="182"/>
      <c r="AQ20" s="184"/>
      <c r="AR20" s="182"/>
      <c r="AS20" s="184"/>
      <c r="AT20" s="182"/>
      <c r="AU20" s="184"/>
      <c r="AV20" s="182"/>
      <c r="AW20" s="184"/>
    </row>
    <row r="21" spans="6:50" ht="15" thickBot="1" x14ac:dyDescent="0.4">
      <c r="I21" s="94"/>
      <c r="J21" s="197" t="s">
        <v>301</v>
      </c>
      <c r="K21" s="206">
        <f>((K13+K19)/K9)</f>
        <v>0</v>
      </c>
      <c r="L21" s="207">
        <f>IF(L8=0,0,((L13+L19)/L9))</f>
        <v>0</v>
      </c>
      <c r="M21" s="206">
        <f>((M13+M19)/M9)</f>
        <v>0</v>
      </c>
      <c r="N21" s="207">
        <f>IF(N8=0,0,((N13+N19)/N9))</f>
        <v>0</v>
      </c>
      <c r="O21" s="206">
        <f>((O13+O19)/O9)</f>
        <v>0</v>
      </c>
      <c r="P21" s="207">
        <f>IF(P8=0,0,((P13+P19)/P9))</f>
        <v>0</v>
      </c>
      <c r="Q21" s="206">
        <f>((Q13+Q19)/Q9)</f>
        <v>0</v>
      </c>
      <c r="R21" s="207">
        <f>IF(R8=0,0,((R13+R19)/R9))</f>
        <v>0</v>
      </c>
      <c r="S21" s="208" t="s">
        <v>348</v>
      </c>
      <c r="T21" t="s">
        <v>334</v>
      </c>
      <c r="W21" s="206">
        <f>((W13+W19)/W9)</f>
        <v>1171.0006411821385</v>
      </c>
      <c r="X21" s="207">
        <f>IF(X8=0,0,((X13+X19)/X9))</f>
        <v>2732.3348294249899</v>
      </c>
      <c r="Y21" s="7"/>
      <c r="Z21" s="238"/>
      <c r="AA21" s="235" t="e">
        <f>AA5</f>
        <v>#DIV/0!</v>
      </c>
      <c r="AB21" s="236"/>
      <c r="AC21" s="246"/>
      <c r="AD21" s="219"/>
      <c r="AF21" s="197" t="s">
        <v>301</v>
      </c>
      <c r="AG21" s="235">
        <f>((AG13+AG19)/AG9)</f>
        <v>0</v>
      </c>
      <c r="AH21" s="236">
        <f>IF(AH8=0,0,((AH13+AH19)/AH9))</f>
        <v>0</v>
      </c>
      <c r="AI21" s="235">
        <f>((AI13+AI19)/AI9)</f>
        <v>0</v>
      </c>
      <c r="AJ21" s="236">
        <f>IF(AJ8=0,0,((AJ13+AJ19)/AJ9))</f>
        <v>0</v>
      </c>
      <c r="AK21" s="235">
        <f>((AK13+AK19)/AK9)</f>
        <v>0</v>
      </c>
      <c r="AL21" s="236">
        <f>IF(AL8=0,0,((AL13+AL19)/AL9))</f>
        <v>0</v>
      </c>
      <c r="AM21" s="235">
        <f>((AM13+AM19)/AM9)</f>
        <v>0</v>
      </c>
      <c r="AN21" s="236">
        <f>IF(AN8=0,0,((AN13+AN19)/AN9))</f>
        <v>0</v>
      </c>
      <c r="AP21" s="235">
        <f>((AP13+AP19)/AP9)</f>
        <v>0</v>
      </c>
      <c r="AQ21" s="236">
        <f>IF(AQ8=0,0,((AQ13+AQ19)/AQ9))</f>
        <v>0</v>
      </c>
      <c r="AR21" s="235">
        <f>((AR13+AR19)/AR9)</f>
        <v>0</v>
      </c>
      <c r="AS21" s="236">
        <f>IF(AS8=0,0,((AS13+AS19)/AS9))</f>
        <v>0</v>
      </c>
      <c r="AT21" s="235">
        <f>((AT13+AT19)/AT9)</f>
        <v>0</v>
      </c>
      <c r="AU21" s="236">
        <f>IF(AU8=0,0,((AU13+AU19)/AU9))</f>
        <v>0</v>
      </c>
      <c r="AV21" s="235">
        <f>((AV13+AV19)/AV9)</f>
        <v>0</v>
      </c>
      <c r="AW21" s="236">
        <f>IF(AW8=0,0,((AW13+AW19)/AW9))</f>
        <v>0</v>
      </c>
    </row>
    <row r="22" spans="6:50" x14ac:dyDescent="0.35">
      <c r="J22" t="s">
        <v>135</v>
      </c>
      <c r="K22" s="156">
        <f>VLOOKUP(K3,'Fuel Factors'!$B$3:$L$41,5,FALSE)</f>
        <v>3.1139999999999999</v>
      </c>
      <c r="L22" s="196">
        <f>IF(L4="",0,VLOOKUP(L4,'Fuel Factors'!$B$3:$L$41,5,FALSE))</f>
        <v>0</v>
      </c>
      <c r="M22" s="145">
        <f>VLOOKUP(M3,'Fuel Factors'!$B$3:$L$41,5,FALSE)</f>
        <v>3.1509999999999998</v>
      </c>
      <c r="N22" s="146">
        <f>IF(N4="",0,VLOOKUP(N4,'Fuel Factors'!$B$3:$L$41,5,FALSE))</f>
        <v>0</v>
      </c>
      <c r="O22" s="145">
        <f>VLOOKUP(O3,'Fuel Factors'!$B$3:$L$41,5,FALSE)</f>
        <v>3.206</v>
      </c>
      <c r="P22" s="146">
        <f>IF(P4="",0,VLOOKUP(P4,'Fuel Factors'!$B$3:$L$41,5,FALSE))</f>
        <v>0</v>
      </c>
      <c r="Q22" s="145">
        <f>VLOOKUP(Q3,'Fuel Factors'!$B$3:$L$41,5,FALSE)</f>
        <v>2.8340000000000001</v>
      </c>
      <c r="R22" s="146">
        <f>IF(R4="",0,VLOOKUP(R4,'Fuel Factors'!$B$3:$L$41,5,FALSE))</f>
        <v>3.206</v>
      </c>
      <c r="W22" s="145">
        <f>VLOOKUP(W3,'Fuel Factors'!$B$3:$L$41,5,FALSE)</f>
        <v>2.8340000000000001</v>
      </c>
      <c r="X22" s="146">
        <f>IF(X4="",0,VLOOKUP(X4,'Fuel Factors'!$B$3:$L$41,5,FALSE))</f>
        <v>3.206</v>
      </c>
      <c r="Y22" s="7"/>
      <c r="Z22" s="238"/>
      <c r="AA22" s="145">
        <f>VLOOKUP(AA3,'Fuel Factors'!$B$3:$L$41,5,FALSE)</f>
        <v>3.1139999999999999</v>
      </c>
      <c r="AB22" s="146"/>
      <c r="AC22" s="238"/>
      <c r="AD22" s="7"/>
      <c r="AF22" t="s">
        <v>135</v>
      </c>
      <c r="AG22" s="156">
        <f>VLOOKUP(AG3,'Fuel Factors'!$B$3:$L$41,5,FALSE)</f>
        <v>3.1139999999999999</v>
      </c>
      <c r="AH22" s="196">
        <f>IF(AH4="",0,VLOOKUP(AH4,'Fuel Factors'!$B$3:$L$41,5,FALSE))</f>
        <v>0</v>
      </c>
      <c r="AI22" s="145">
        <f>VLOOKUP(AI3,'Fuel Factors'!$B$3:$L$41,5,FALSE)</f>
        <v>3.1509999999999998</v>
      </c>
      <c r="AJ22" s="146">
        <f>IF(AJ4="",0,VLOOKUP(AJ4,'Fuel Factors'!$B$3:$L$41,5,FALSE))</f>
        <v>0</v>
      </c>
      <c r="AK22" s="145">
        <f>VLOOKUP(AK3,'Fuel Factors'!$B$3:$L$41,5,FALSE)</f>
        <v>3.206</v>
      </c>
      <c r="AL22" s="146">
        <f>IF(AL4="",0,VLOOKUP(AL4,'Fuel Factors'!$B$3:$L$41,5,FALSE))</f>
        <v>0</v>
      </c>
      <c r="AM22" s="145">
        <f>VLOOKUP(AM3,'Fuel Factors'!$B$3:$L$41,5,FALSE)</f>
        <v>2.8340000000000001</v>
      </c>
      <c r="AN22" s="146">
        <f>IF(AN4="",0,VLOOKUP(AN4,'Fuel Factors'!$B$3:$L$41,5,FALSE))</f>
        <v>3.206</v>
      </c>
      <c r="AP22" s="156">
        <f>VLOOKUP(AP3,'Fuel Factors'!$B$3:$L$41,5,FALSE)</f>
        <v>2.8340000000000001</v>
      </c>
      <c r="AQ22" s="196">
        <f>IF(AQ4="",0,VLOOKUP(AQ4,'Fuel Factors'!$B$3:$L$41,5,FALSE))</f>
        <v>3.1139999999999999</v>
      </c>
      <c r="AR22" s="145">
        <f>VLOOKUP(AR3,'Fuel Factors'!$B$3:$L$41,5,FALSE)</f>
        <v>2.8340000000000001</v>
      </c>
      <c r="AS22" s="146">
        <f>IF(AS4="",0,VLOOKUP(AS4,'Fuel Factors'!$B$3:$L$41,5,FALSE))</f>
        <v>3.1509999999999998</v>
      </c>
      <c r="AT22" s="145">
        <f>VLOOKUP(AT3,'Fuel Factors'!$B$3:$L$41,5,FALSE)</f>
        <v>2.8340000000000001</v>
      </c>
      <c r="AU22" s="146">
        <f>IF(AU4="",0,VLOOKUP(AU4,'Fuel Factors'!$B$3:$L$41,5,FALSE))</f>
        <v>3.206</v>
      </c>
      <c r="AV22" s="145">
        <f>VLOOKUP(AV3,'Fuel Factors'!$B$3:$L$41,5,FALSE)</f>
        <v>3.1150000000000002</v>
      </c>
      <c r="AW22" s="146">
        <f>IF(AW4="",0,VLOOKUP(AW4,'Fuel Factors'!$B$3:$L$41,5,FALSE))</f>
        <v>3.206</v>
      </c>
    </row>
    <row r="23" spans="6:50" x14ac:dyDescent="0.35">
      <c r="J23" t="s">
        <v>136</v>
      </c>
      <c r="K23" s="159">
        <f>K22+((VLOOKUP(K3,'Fuel Factors'!$B$3:$L$41,6,FALSE))*$G$32)+((VLOOKUP(K3,'Fuel Factors'!$B$3:$L$41,7,FALSE))*$G$33)</f>
        <v>3.1688900000000002</v>
      </c>
      <c r="L23" s="158">
        <f>IF(L4="",0,(L22+((VLOOKUP(L4,'Fuel Factors'!$B$3:$L$41,6,FALSE))*$G$32)+((VLOOKUP(L4,'Fuel Factors'!$B$3:$L$41,7,FALSE))*$G$33)))</f>
        <v>0</v>
      </c>
      <c r="M23" s="159">
        <f>M22+((VLOOKUP(M3,'Fuel Factors'!$B$3:$L$41,6,FALSE))*$G$32)+((VLOOKUP(M3,'Fuel Factors'!$B$3:$L$41,7,FALSE))*$G$33)</f>
        <v>3.2058900000000001</v>
      </c>
      <c r="N23" s="158">
        <f>IF(N4="",0,(N22+((VLOOKUP(N4,'Fuel Factors'!$B$3:$L$41,6,FALSE))*$G$32)+((VLOOKUP(N4,'Fuel Factors'!$B$3:$L$41,7,FALSE))*$G$33)))</f>
        <v>0</v>
      </c>
      <c r="O23" s="159">
        <f>O22+((VLOOKUP(O3,'Fuel Factors'!$B$3:$L$41,6,FALSE))*$G$32)+((VLOOKUP(O3,'Fuel Factors'!$B$3:$L$41,7,FALSE))*$G$33)</f>
        <v>3.2608900000000003</v>
      </c>
      <c r="P23" s="158">
        <f>IF(P4="",0,(P22+((VLOOKUP(P4,'Fuel Factors'!$B$3:$L$41,6,FALSE))*$G$32)+((VLOOKUP(P4,'Fuel Factors'!$B$3:$L$41,7,FALSE))*$G$33)))</f>
        <v>0</v>
      </c>
      <c r="Q23" s="159">
        <f>Q22+((VLOOKUP(Q3,'Fuel Factors'!$B$3:$L$41,6,FALSE))*$G$32)+((VLOOKUP(Q3,'Fuel Factors'!$B$3:$L$41,7,FALSE))*$G$33)</f>
        <v>2.8888900000000004</v>
      </c>
      <c r="R23" s="158">
        <f>IF(R4="",0,(R22+((VLOOKUP(R4,'Fuel Factors'!$B$3:$L$41,6,FALSE))*$G$32)+((VLOOKUP(R4,'Fuel Factors'!$B$3:$L$41,7,FALSE))*$G$33)))</f>
        <v>3.2608900000000003</v>
      </c>
      <c r="S23" s="208" t="s">
        <v>348</v>
      </c>
      <c r="T23" t="s">
        <v>339</v>
      </c>
      <c r="W23" s="178">
        <f>W22+((VLOOKUP(W3,'Fuel Factors'!$B$3:$L$41,6,FALSE))*$G$32)+((VLOOKUP(W3,'Fuel Factors'!$B$3:$L$41,7,FALSE))*$G$33)</f>
        <v>2.8888900000000004</v>
      </c>
      <c r="X23" s="158">
        <f>IF(X4="",0,(X22+((VLOOKUP(X4,'Fuel Factors'!$B$3:$L$41,6,FALSE))*$G$32)+((VLOOKUP(X4,'Fuel Factors'!$B$3:$L$41,7,FALSE))*$G$33)))</f>
        <v>3.2608900000000003</v>
      </c>
      <c r="Y23" s="7"/>
      <c r="Z23" s="238"/>
      <c r="AA23" s="159">
        <f>AA22+((VLOOKUP(AA3,'Fuel Factors'!$B$3:$L$41,6,FALSE))*$G$32)+((VLOOKUP(AA3,'Fuel Factors'!$B$3:$L$41,7,FALSE))*$G$33)</f>
        <v>3.1688900000000002</v>
      </c>
      <c r="AB23" s="158"/>
      <c r="AC23" s="247"/>
      <c r="AD23" s="221"/>
      <c r="AF23" t="s">
        <v>136</v>
      </c>
      <c r="AG23" s="159">
        <f>AG22+((VLOOKUP(AG3,'Fuel Factors'!$B$3:$L$41,6,FALSE))*$G$32)+((VLOOKUP(AG3,'Fuel Factors'!$B$3:$L$41,7,FALSE))*$G$33)</f>
        <v>3.1688900000000002</v>
      </c>
      <c r="AH23" s="158">
        <f>IF(AH4="",0,(AH22+((VLOOKUP(AH4,'Fuel Factors'!$B$3:$L$41,6,FALSE))*$G$32)+((VLOOKUP(AH4,'Fuel Factors'!$B$3:$L$41,7,FALSE))*$G$33)))</f>
        <v>0</v>
      </c>
      <c r="AI23" s="159">
        <f>AI22+((VLOOKUP(AI3,'Fuel Factors'!$B$3:$L$41,6,FALSE))*$G$32)+((VLOOKUP(AI3,'Fuel Factors'!$B$3:$L$41,7,FALSE))*$G$33)</f>
        <v>3.2058900000000001</v>
      </c>
      <c r="AJ23" s="158">
        <f>IF(AJ4="",0,(AJ22+((VLOOKUP(AJ4,'Fuel Factors'!$B$3:$L$41,6,FALSE))*$G$32)+((VLOOKUP(AJ4,'Fuel Factors'!$B$3:$L$41,7,FALSE))*$G$33)))</f>
        <v>0</v>
      </c>
      <c r="AK23" s="159">
        <f>AK22+((VLOOKUP(AK3,'Fuel Factors'!$B$3:$L$41,6,FALSE))*$G$32)+((VLOOKUP(AK3,'Fuel Factors'!$B$3:$L$41,7,FALSE))*$G$33)</f>
        <v>3.2608900000000003</v>
      </c>
      <c r="AL23" s="158">
        <f>IF(AL4="",0,(AL22+((VLOOKUP(AL4,'Fuel Factors'!$B$3:$L$41,6,FALSE))*$G$32)+((VLOOKUP(AL4,'Fuel Factors'!$B$3:$L$41,7,FALSE))*$G$33)))</f>
        <v>0</v>
      </c>
      <c r="AM23" s="159">
        <f>AM22+((VLOOKUP(AM3,'Fuel Factors'!$B$3:$L$41,6,FALSE))*$G$32)+((VLOOKUP(AM3,'Fuel Factors'!$B$3:$L$41,7,FALSE))*$G$33)</f>
        <v>2.8888900000000004</v>
      </c>
      <c r="AN23" s="158">
        <f>IF(AN4="",0,(AN22+((VLOOKUP(AN4,'Fuel Factors'!$B$3:$L$41,6,FALSE))*$G$32)+((VLOOKUP(AN4,'Fuel Factors'!$B$3:$L$41,7,FALSE))*$G$33)))</f>
        <v>3.2608900000000003</v>
      </c>
      <c r="AP23" s="159">
        <f>AP22+((VLOOKUP(AP3,'Fuel Factors'!$B$3:$L$41,6,FALSE))*$G$32)+((VLOOKUP(AP3,'Fuel Factors'!$B$3:$L$41,7,FALSE))*$G$33)</f>
        <v>2.8888900000000004</v>
      </c>
      <c r="AQ23" s="158">
        <f>IF(AQ4="",0,(AQ22+((VLOOKUP(AQ4,'Fuel Factors'!$B$3:$L$41,6,FALSE))*$G$32)+((VLOOKUP(AQ4,'Fuel Factors'!$B$3:$L$41,7,FALSE))*$G$33)))</f>
        <v>3.1688900000000002</v>
      </c>
      <c r="AR23" s="159">
        <f>AR22+((VLOOKUP(AR3,'Fuel Factors'!$B$3:$L$41,6,FALSE))*$G$32)+((VLOOKUP(AR3,'Fuel Factors'!$B$3:$L$41,7,FALSE))*$G$33)</f>
        <v>2.8888900000000004</v>
      </c>
      <c r="AS23" s="158">
        <f>IF(AS4="",0,(AS22+((VLOOKUP(AS4,'Fuel Factors'!$B$3:$L$41,6,FALSE))*$G$32)+((VLOOKUP(AS4,'Fuel Factors'!$B$3:$L$41,7,FALSE))*$G$33)))</f>
        <v>3.2058900000000001</v>
      </c>
      <c r="AT23" s="159">
        <f>AT22+((VLOOKUP(AT3,'Fuel Factors'!$B$3:$L$41,6,FALSE))*$G$32)+((VLOOKUP(AT3,'Fuel Factors'!$B$3:$L$41,7,FALSE))*$G$33)</f>
        <v>2.8888900000000004</v>
      </c>
      <c r="AU23" s="158">
        <f>IF(AU4="",0,(AU22+((VLOOKUP(AU4,'Fuel Factors'!$B$3:$L$41,6,FALSE))*$G$32)+((VLOOKUP(AU4,'Fuel Factors'!$B$3:$L$41,7,FALSE))*$G$33)))</f>
        <v>3.2608900000000003</v>
      </c>
      <c r="AV23" s="159">
        <f>AV22+((VLOOKUP(AV3,'Fuel Factors'!$B$3:$L$41,6,FALSE))*$G$32)+((VLOOKUP(AV3,'Fuel Factors'!$B$3:$L$41,7,FALSE))*$G$33)</f>
        <v>3.1698900000000005</v>
      </c>
      <c r="AW23" s="158">
        <f>IF(AW4="",0,(AW22+((VLOOKUP(AW4,'Fuel Factors'!$B$3:$L$41,6,FALSE))*$G$32)+((VLOOKUP(AW4,'Fuel Factors'!$B$3:$L$41,7,FALSE))*$G$33)))</f>
        <v>3.2608900000000003</v>
      </c>
    </row>
    <row r="24" spans="6:50" x14ac:dyDescent="0.35">
      <c r="I24" s="94"/>
      <c r="J24" s="94" t="s">
        <v>299</v>
      </c>
      <c r="K24" s="145">
        <f>'Penalty Calculator'!L27</f>
        <v>4.0500000000000001E-2</v>
      </c>
      <c r="L24" s="146">
        <f>IF(L4="",0,VLOOKUP(L4,'Fuel Factors'!$B$3:$L$41,2,FALSE))</f>
        <v>0</v>
      </c>
      <c r="M24" s="145">
        <f>'Penalty Calculator'!O27</f>
        <v>4.1000000000000002E-2</v>
      </c>
      <c r="N24" s="146">
        <f>IF(N4="",0,VLOOKUP(N4,'Fuel Factors'!$B$3:$L$41,2,FALSE))</f>
        <v>0</v>
      </c>
      <c r="O24" s="145">
        <f>'Penalty Calculator'!R27</f>
        <v>4.2700000000000002E-2</v>
      </c>
      <c r="P24" s="146">
        <f>IF(P4="",0,VLOOKUP(P4,'Fuel Factors'!$B$3:$L$41,2,FALSE))</f>
        <v>0</v>
      </c>
      <c r="Q24" s="145">
        <f>'Penalty Calculator'!U27</f>
        <v>3.6999999999999998E-2</v>
      </c>
      <c r="R24" s="146">
        <f>IF(R4="",0,VLOOKUP(R4,'Fuel Factors'!$B$3:$L$41,2,FALSE))</f>
        <v>4.2700000000000002E-2</v>
      </c>
      <c r="W24" s="145">
        <f>'Penalty Calculator'!I50</f>
        <v>3.6999999999999998E-2</v>
      </c>
      <c r="X24" s="146">
        <f>IF(X4="",0,VLOOKUP(X4,'Fuel Factors'!$B$3:$L$41,2,FALSE))</f>
        <v>4.2700000000000002E-2</v>
      </c>
      <c r="Y24" s="7"/>
      <c r="Z24" s="238"/>
      <c r="AA24" s="145">
        <f>VLOOKUP(AA3,'Fuel Factors'!$B$3:$L$41,2,FALSE)</f>
        <v>4.0500000000000001E-2</v>
      </c>
      <c r="AB24" s="146"/>
      <c r="AC24" s="238"/>
      <c r="AD24" s="7"/>
      <c r="AF24" s="94" t="s">
        <v>299</v>
      </c>
      <c r="AG24" s="145">
        <f>'Penalty Calculator'!L27</f>
        <v>4.0500000000000001E-2</v>
      </c>
      <c r="AH24" s="146">
        <f>IF(AH4="",0,VLOOKUP(AH4,'Fuel Factors'!$B$3:$L$41,2,FALSE))</f>
        <v>0</v>
      </c>
      <c r="AI24" s="145">
        <f>'Penalty Calculator'!O27</f>
        <v>4.1000000000000002E-2</v>
      </c>
      <c r="AJ24" s="146">
        <f>IF(AJ4="",0,VLOOKUP(AJ4,'Fuel Factors'!$B$3:$L$41,2,FALSE))</f>
        <v>0</v>
      </c>
      <c r="AK24" s="145">
        <f>'Penalty Calculator'!R27</f>
        <v>4.2700000000000002E-2</v>
      </c>
      <c r="AL24" s="146">
        <f>IF(AL4="",0,VLOOKUP(AL4,'Fuel Factors'!$B$3:$L$41,2,FALSE))</f>
        <v>0</v>
      </c>
      <c r="AM24" s="145">
        <f>'Penalty Calculator'!U27</f>
        <v>3.6999999999999998E-2</v>
      </c>
      <c r="AN24" s="146">
        <f>IF(AN4="",0,VLOOKUP(AN4,'Fuel Factors'!$B$3:$L$41,2,FALSE))</f>
        <v>4.2700000000000002E-2</v>
      </c>
      <c r="AP24" s="145">
        <f>'Penalty Calculator'!M62</f>
        <v>3.6999999999999998E-2</v>
      </c>
      <c r="AQ24" s="146">
        <f>IF(AQ4="",0,VLOOKUP(AQ4,'Fuel Factors'!$B$3:$L$41,2,FALSE))</f>
        <v>4.0500000000000001E-2</v>
      </c>
      <c r="AR24" s="145">
        <f>'Penalty Calculator'!M63</f>
        <v>3.6999999999999998E-2</v>
      </c>
      <c r="AS24" s="146">
        <f>IF(AS4="",0,VLOOKUP(AS4,'Fuel Factors'!$B$3:$L$41,2,FALSE))</f>
        <v>4.1000000000000002E-2</v>
      </c>
      <c r="AT24" s="145">
        <f>'Penalty Calculator'!M64</f>
        <v>3.6999999999999998E-2</v>
      </c>
      <c r="AU24" s="146">
        <f>IF(AU4="",0,VLOOKUP(AU4,'Fuel Factors'!$B$3:$L$41,2,FALSE))</f>
        <v>4.2700000000000002E-2</v>
      </c>
      <c r="AV24" s="145">
        <f>'Penalty Calculator'!M65</f>
        <v>4.3999999999999997E-2</v>
      </c>
      <c r="AW24" s="146">
        <f>IF(AW4="",0,VLOOKUP(AW4,'Fuel Factors'!$B$3:$L$41,2,FALSE))</f>
        <v>4.2700000000000002E-2</v>
      </c>
      <c r="AX24" s="277"/>
    </row>
    <row r="25" spans="6:50" x14ac:dyDescent="0.35">
      <c r="I25" s="94"/>
      <c r="J25" s="94" t="s">
        <v>295</v>
      </c>
      <c r="K25" s="176" t="str">
        <f>'Penalty Calculator'!L12</f>
        <v>N/A</v>
      </c>
      <c r="L25" s="146" t="str">
        <f>IF(OR(L4="",L4="N/A"),"N/A",VLOOKUP(L4,'Fuel Factors'!$B$3:$L$41,9,FALSE))</f>
        <v>N/A</v>
      </c>
      <c r="M25" s="176" t="str">
        <f>'Penalty Calculator'!O12</f>
        <v>N/A</v>
      </c>
      <c r="N25" s="146" t="str">
        <f>IF(OR(N4="",N4="N/A"),"N/A",VLOOKUP(N4,'Fuel Factors'!$B$3:$L$41,9,FALSE))</f>
        <v>N/A</v>
      </c>
      <c r="O25" s="176" t="str">
        <f>'Penalty Calculator'!R12</f>
        <v>N/A</v>
      </c>
      <c r="P25" s="146" t="str">
        <f>IF(OR(P4="",P4="N/A"),"N/A",VLOOKUP(P4,'Fuel Factors'!$B$3:$L$41,9,FALSE))</f>
        <v>N/A</v>
      </c>
      <c r="Q25" s="176">
        <f>'Penalty Calculator'!U12</f>
        <v>12</v>
      </c>
      <c r="R25" s="146" t="str">
        <f>IF(OR(R4="",R4="N/A"),"N/A",VLOOKUP(R4,'Fuel Factors'!$B$3:$L$41,9,FALSE))</f>
        <v>N/A</v>
      </c>
      <c r="W25" s="176">
        <f>'Penalty Calculator'!D50</f>
        <v>34.54</v>
      </c>
      <c r="X25" s="146" t="str">
        <f>IF(OR(X4="",X4="N/A"),"N/A",VLOOKUP(X4,'Fuel Factors'!$B$3:$L$41,9,FALSE))</f>
        <v>N/A</v>
      </c>
      <c r="Y25" s="7"/>
      <c r="Z25" s="238"/>
      <c r="AA25" s="176"/>
      <c r="AB25" s="146"/>
      <c r="AC25" s="248"/>
      <c r="AD25" s="7"/>
      <c r="AF25" s="94" t="s">
        <v>295</v>
      </c>
      <c r="AG25" s="176" t="str">
        <f>'Penalty Calculator'!L12</f>
        <v>N/A</v>
      </c>
      <c r="AH25" s="146" t="str">
        <f>IF(OR(AH4="",AH4="N/A"),"N/A",VLOOKUP(AH4,'Fuel Factors'!$B$3:$L$41,9,FALSE))</f>
        <v>N/A</v>
      </c>
      <c r="AI25" s="176" t="str">
        <f>'Penalty Calculator'!O12</f>
        <v>N/A</v>
      </c>
      <c r="AJ25" s="146" t="str">
        <f>IF(OR(AJ4="",AJ4="N/A"),"N/A",VLOOKUP(AJ4,'Fuel Factors'!$B$3:$L$41,9,FALSE))</f>
        <v>N/A</v>
      </c>
      <c r="AK25" s="176" t="str">
        <f>'Penalty Calculator'!R12</f>
        <v>N/A</v>
      </c>
      <c r="AL25" s="146" t="str">
        <f>IF(OR(AL4="",AL4="N/A"),"N/A",VLOOKUP(AL4,'Fuel Factors'!$B$3:$L$41,9,FALSE))</f>
        <v>N/A</v>
      </c>
      <c r="AM25" s="176">
        <f>'Penalty Calculator'!U12</f>
        <v>12</v>
      </c>
      <c r="AN25" s="146" t="str">
        <f>IF(OR(AN4="",AN4="N/A"),"N/A",VLOOKUP(AN4,'Fuel Factors'!$B$3:$L$41,9,FALSE))</f>
        <v>N/A</v>
      </c>
      <c r="AP25" s="176">
        <f>'Penalty Calculator'!L62</f>
        <v>9.1999999999999993</v>
      </c>
      <c r="AQ25" s="146" t="str">
        <f>IF(OR(AQ4="",AQ4="N/A"),"N/A",VLOOKUP(AQ4,'Fuel Factors'!$B$3:$L$41,9,FALSE))</f>
        <v>N/A</v>
      </c>
      <c r="AR25" s="176">
        <f>'Penalty Calculator'!L63</f>
        <v>34.54</v>
      </c>
      <c r="AS25" s="146" t="str">
        <f>IF(OR(AS4="",AS4="N/A"),"N/A",VLOOKUP(AS4,'Fuel Factors'!$B$3:$L$41,9,FALSE))</f>
        <v>N/A</v>
      </c>
      <c r="AT25" s="176">
        <f>'Penalty Calculator'!L64</f>
        <v>34.54</v>
      </c>
      <c r="AU25" s="146" t="str">
        <f>IF(OR(AU4="",AU4="N/A"),"N/A",VLOOKUP(AU4,'Fuel Factors'!$B$3:$L$41,9,FALSE))</f>
        <v>N/A</v>
      </c>
      <c r="AV25" s="176">
        <f>'Penalty Calculator'!L65</f>
        <v>42.757100000000001</v>
      </c>
      <c r="AW25" s="146" t="str">
        <f>IF(OR(AW4="",AW4="N/A"),"N/A",VLOOKUP(AW4,'Fuel Factors'!$B$3:$L$41,9,FALSE))</f>
        <v>N/A</v>
      </c>
      <c r="AX25" s="277"/>
    </row>
    <row r="26" spans="6:50" x14ac:dyDescent="0.35">
      <c r="I26" s="94"/>
      <c r="J26" s="94" t="s">
        <v>137</v>
      </c>
      <c r="K26" s="159">
        <f>IF(K25="N/A",VLOOKUP(K3,'Fuel Factors'!$B$3:$L$41,3,FALSE),((K25)-(K22/K24)))</f>
        <v>13.5</v>
      </c>
      <c r="L26" s="158">
        <f>IF(L4="",0,VLOOKUP(L4,'Fuel Factors'!$B$3:$L$41,3,FALSE))</f>
        <v>0</v>
      </c>
      <c r="M26" s="159">
        <f>IF(M25="N/A",VLOOKUP(M3,'Fuel Factors'!$B$3:$L$41,3,FALSE),((M25)-(M22/M24)))</f>
        <v>13.2</v>
      </c>
      <c r="N26" s="158">
        <f>IF(N4="",0,VLOOKUP(N4,'Fuel Factors'!$B$3:$L$41,3,FALSE))</f>
        <v>0</v>
      </c>
      <c r="O26" s="159">
        <f>IF(O25="N/A",VLOOKUP(O3,'Fuel Factors'!$B$3:$L$41,3,FALSE),((O25)-(O22/O24)))</f>
        <v>14.4</v>
      </c>
      <c r="P26" s="158">
        <f>IF(P4="",0,VLOOKUP(P4,'Fuel Factors'!$B$3:$L$41,3,FALSE))</f>
        <v>0</v>
      </c>
      <c r="Q26" s="159">
        <f>IF(Q25="N/A",VLOOKUP(Q3,'Fuel Factors'!$B$3:$L$41,3,FALSE),((Q25)-(Q22/Q24)))</f>
        <v>-64.594594594594597</v>
      </c>
      <c r="R26" s="158">
        <f>IF(R4="",0,VLOOKUP(R4,'Fuel Factors'!$B$3:$L$41,3,FALSE))</f>
        <v>14.4</v>
      </c>
      <c r="S26" s="208" t="s">
        <v>348</v>
      </c>
      <c r="T26" t="s">
        <v>350</v>
      </c>
      <c r="W26" s="159">
        <f>IF(W25="N/A",VLOOKUP(W3,'Fuel Factors'!$B$3:$L$41,3,FALSE),((W25)-(W22/W24)))</f>
        <v>-42.054594594594597</v>
      </c>
      <c r="X26" s="158">
        <f>IF(X4="",0,VLOOKUP(X4,'Fuel Factors'!$B$3:$L$41,3,FALSE))</f>
        <v>14.4</v>
      </c>
      <c r="Y26" s="7"/>
      <c r="Z26" s="238"/>
      <c r="AA26" s="159">
        <f>VLOOKUP(AA3,'Fuel Factors'!$B$3:$L$41,3,FALSE)</f>
        <v>13.5</v>
      </c>
      <c r="AB26" s="158"/>
      <c r="AC26" s="249"/>
      <c r="AD26" s="221"/>
      <c r="AF26" s="94" t="s">
        <v>137</v>
      </c>
      <c r="AG26" s="159">
        <f>IF(AG25="N/A",VLOOKUP(AG3,'Fuel Factors'!$B$3:$L$41,3,FALSE),((AG25)-(AG22/AG24)))</f>
        <v>13.5</v>
      </c>
      <c r="AH26" s="158">
        <f>IF(AH4="",0,VLOOKUP(AH4,'Fuel Factors'!$B$3:$L$41,3,FALSE))</f>
        <v>0</v>
      </c>
      <c r="AI26" s="159">
        <f>IF(AI25="N/A",VLOOKUP(AI3,'Fuel Factors'!$B$3:$L$41,3,FALSE),((AI25)-(AI22/AI24)))</f>
        <v>13.2</v>
      </c>
      <c r="AJ26" s="158">
        <f>IF(AJ4="",0,VLOOKUP(AJ4,'Fuel Factors'!$B$3:$L$41,3,FALSE))</f>
        <v>0</v>
      </c>
      <c r="AK26" s="159">
        <f>IF(AK25="N/A",VLOOKUP(AK3,'Fuel Factors'!$B$3:$L$41,3,FALSE),((AK25)-(AK22/AK24)))</f>
        <v>14.4</v>
      </c>
      <c r="AL26" s="158">
        <f>IF(AL4="",0,VLOOKUP(AL4,'Fuel Factors'!$B$3:$L$41,3,FALSE))</f>
        <v>0</v>
      </c>
      <c r="AM26" s="159">
        <f>IF(AM25="N/A",VLOOKUP(AM3,'Fuel Factors'!$B$3:$L$41,3,FALSE),((AM25)-(AM22/AM24)))</f>
        <v>-64.594594594594597</v>
      </c>
      <c r="AN26" s="158">
        <f>IF(AN4="",0,VLOOKUP(AN4,'Fuel Factors'!$B$3:$L$41,3,FALSE))</f>
        <v>14.4</v>
      </c>
      <c r="AP26" s="159">
        <f>IF(AP25="N/A",VLOOKUP(AP3,'Fuel Factors'!$B$3:$L$41,3,FALSE),((AP25)-(AP22/AP24)))</f>
        <v>-67.394594594594594</v>
      </c>
      <c r="AQ26" s="158">
        <f>IF(AQ4="",0,VLOOKUP(AQ4,'Fuel Factors'!$B$3:$L$41,3,FALSE))</f>
        <v>13.5</v>
      </c>
      <c r="AR26" s="159">
        <f>IF(AR25="N/A",VLOOKUP(AR3,'Fuel Factors'!$B$3:$L$41,3,FALSE),((AR25)-(AR22/AR24)))</f>
        <v>-42.054594594594597</v>
      </c>
      <c r="AS26" s="158">
        <f>IF(AS4="",0,VLOOKUP(AS4,'Fuel Factors'!$B$3:$L$41,3,FALSE))</f>
        <v>13.2</v>
      </c>
      <c r="AT26" s="159">
        <f>IF(AT25="N/A",VLOOKUP(AT3,'Fuel Factors'!$B$3:$L$41,3,FALSE),((AT25)-(AT22/AT24)))</f>
        <v>-42.054594594594597</v>
      </c>
      <c r="AU26" s="158">
        <f>IF(AU4="",0,VLOOKUP(AU4,'Fuel Factors'!$B$3:$L$41,3,FALSE))</f>
        <v>14.4</v>
      </c>
      <c r="AV26" s="159">
        <f>IF(AV25="N/A",VLOOKUP(AV3,'Fuel Factors'!$B$3:$L$41,3,FALSE),((AV25)-(AV22/AV24)))</f>
        <v>-28.03835454545456</v>
      </c>
      <c r="AW26" s="158">
        <f>IF(AW4="",0,VLOOKUP(AW4,'Fuel Factors'!$B$3:$L$41,3,FALSE))</f>
        <v>14.4</v>
      </c>
    </row>
    <row r="27" spans="6:50" x14ac:dyDescent="0.35">
      <c r="J27" t="s">
        <v>138</v>
      </c>
      <c r="K27" s="145">
        <f>VLOOKUP(K3,'Fuel Factors'!$B$3:$L$41,8,FALSE)</f>
        <v>0</v>
      </c>
      <c r="L27" s="146">
        <f>IF(L4="",0,VLOOKUP(L4,'Fuel Factors'!$B$3:$L$41,8,FALSE))</f>
        <v>0</v>
      </c>
      <c r="M27" s="145">
        <f>VLOOKUP(M3,'Fuel Factors'!$B$3:$L$41,8,FALSE)</f>
        <v>0</v>
      </c>
      <c r="N27" s="146">
        <f>IF(N4="",0,VLOOKUP(N4,'Fuel Factors'!$B$3:$I$41,8,FALSE))</f>
        <v>0</v>
      </c>
      <c r="O27" s="145">
        <f>VLOOKUP(O3,'Fuel Factors'!$B$3:$L$41,8,FALSE)</f>
        <v>0</v>
      </c>
      <c r="P27" s="146">
        <f>IF(P4="",0,VLOOKUP(P4,'Fuel Factors'!$B$3:$I$41,8,FALSE))</f>
        <v>0</v>
      </c>
      <c r="Q27" s="145">
        <f>VLOOKUP(Q3,'Fuel Factors'!$B$3:$L$41,8,FALSE)</f>
        <v>0</v>
      </c>
      <c r="R27" s="146">
        <f>IF(R4="",0,VLOOKUP(R4,'Fuel Factors'!$B$3:$I$41,8,FALSE))</f>
        <v>0</v>
      </c>
      <c r="W27" s="145">
        <f>VLOOKUP(W3,'Fuel Factors'!$B$3:$L$41,8,FALSE)</f>
        <v>0</v>
      </c>
      <c r="X27" s="146">
        <f>IF(X4="",0,VLOOKUP(X4,'Fuel Factors'!$B$3:$I$41,8,FALSE))</f>
        <v>0</v>
      </c>
      <c r="Y27" s="7"/>
      <c r="Z27" s="238"/>
      <c r="AA27" s="145">
        <f>VLOOKUP(AA3,'Fuel Factors'!$B$3:$L$41,8,FALSE)</f>
        <v>0</v>
      </c>
      <c r="AB27" s="146"/>
      <c r="AC27" s="238"/>
      <c r="AD27" s="7"/>
      <c r="AF27" t="s">
        <v>138</v>
      </c>
      <c r="AG27" s="145">
        <f>VLOOKUP(AG3,'Fuel Factors'!$B$3:$L$41,8,FALSE)</f>
        <v>0</v>
      </c>
      <c r="AH27" s="146">
        <f>IF(AH4="",0,VLOOKUP(AH4,'Fuel Factors'!$B$3:$L$41,8,FALSE))</f>
        <v>0</v>
      </c>
      <c r="AI27" s="145">
        <f>VLOOKUP(AI3,'Fuel Factors'!$B$3:$L$41,8,FALSE)</f>
        <v>0</v>
      </c>
      <c r="AJ27" s="146">
        <f>IF(AJ4="",0,VLOOKUP(AJ4,'Fuel Factors'!$B$3:$I$41,8,FALSE))</f>
        <v>0</v>
      </c>
      <c r="AK27" s="145">
        <f>VLOOKUP(AK3,'Fuel Factors'!$B$3:$L$41,8,FALSE)</f>
        <v>0</v>
      </c>
      <c r="AL27" s="146">
        <f>IF(AL4="",0,VLOOKUP(AL4,'Fuel Factors'!$B$3:$I$41,8,FALSE))</f>
        <v>0</v>
      </c>
      <c r="AM27" s="145">
        <f>VLOOKUP(AM3,'Fuel Factors'!$B$3:$L$41,8,FALSE)</f>
        <v>0</v>
      </c>
      <c r="AN27" s="146">
        <f>IF(AN4="",0,VLOOKUP(AN4,'Fuel Factors'!$B$3:$I$41,8,FALSE))</f>
        <v>0</v>
      </c>
      <c r="AP27" s="145">
        <f>VLOOKUP(AP3,'Fuel Factors'!$B$3:$L$41,8,FALSE)</f>
        <v>0</v>
      </c>
      <c r="AQ27" s="146">
        <f>IF(AQ4="",0,VLOOKUP(AQ4,'Fuel Factors'!$B$3:$L$41,8,FALSE))</f>
        <v>0</v>
      </c>
      <c r="AR27" s="145">
        <f>VLOOKUP(AR3,'Fuel Factors'!$B$3:$L$41,8,FALSE)</f>
        <v>0</v>
      </c>
      <c r="AS27" s="146">
        <f>IF(AS4="",0,VLOOKUP(AS4,'Fuel Factors'!$B$3:$I$41,8,FALSE))</f>
        <v>0</v>
      </c>
      <c r="AT27" s="145">
        <f>VLOOKUP(AT3,'Fuel Factors'!$B$3:$L$41,8,FALSE)</f>
        <v>0</v>
      </c>
      <c r="AU27" s="146">
        <f>IF(AU4="",0,VLOOKUP(AU4,'Fuel Factors'!$B$3:$I$41,8,FALSE))</f>
        <v>0</v>
      </c>
      <c r="AV27" s="145">
        <f>VLOOKUP(AV3,'Fuel Factors'!$B$3:$L$41,8,FALSE)</f>
        <v>0</v>
      </c>
      <c r="AW27" s="146">
        <f>IF(AW4="",0,VLOOKUP(AW4,'Fuel Factors'!$B$3:$I$41,8,FALSE))</f>
        <v>0</v>
      </c>
    </row>
    <row r="28" spans="6:50" x14ac:dyDescent="0.35">
      <c r="I28" s="94"/>
      <c r="J28" s="94" t="s">
        <v>139</v>
      </c>
      <c r="K28" s="145">
        <f>VLOOKUP(K3,'Fuel Factors'!$B$3:$L$41,10,FALSE)</f>
        <v>0</v>
      </c>
      <c r="L28" s="146">
        <f>IF(L4="",0,VLOOKUP(L4,'Fuel Factors'!$B$3:$L$41,10,FALSE))</f>
        <v>0</v>
      </c>
      <c r="M28" s="7">
        <f>VLOOKUP(M3,'Fuel Factors'!$B$3:$L$41,10,FALSE)</f>
        <v>0</v>
      </c>
      <c r="N28" s="146">
        <f>IF(N4="",0,VLOOKUP(N4,'Fuel Factors'!$B$3:$L$41,10,FALSE))</f>
        <v>0</v>
      </c>
      <c r="O28" s="7">
        <f>VLOOKUP(O3,'Fuel Factors'!$B$3:$L$41,10,FALSE)</f>
        <v>0</v>
      </c>
      <c r="P28" s="146">
        <f>IF(P4="",0,VLOOKUP(P4,'Fuel Factors'!$B$3:$L$41,10,FALSE))</f>
        <v>0</v>
      </c>
      <c r="Q28" s="7">
        <f>VLOOKUP(Q3,'Fuel Factors'!$B$3:$L$41,10,FALSE)</f>
        <v>0</v>
      </c>
      <c r="R28" s="146">
        <f>IF(R4="",0,VLOOKUP(R4,'Fuel Factors'!$B$3:$L$41,10,FALSE))</f>
        <v>0</v>
      </c>
      <c r="W28" s="7">
        <f>VLOOKUP(W3,'Fuel Factors'!$B$3:$L$41,10,FALSE)</f>
        <v>0</v>
      </c>
      <c r="X28" s="146">
        <f>IF(X4="",0,VLOOKUP(X4,'Fuel Factors'!$B$3:$L$41,10,FALSE))</f>
        <v>0</v>
      </c>
      <c r="Y28" s="7"/>
      <c r="Z28" s="238"/>
      <c r="AA28" s="7">
        <f>VLOOKUP(AA3,'Fuel Factors'!$B$3:$L$41,10,FALSE)</f>
        <v>0</v>
      </c>
      <c r="AB28" s="146"/>
      <c r="AC28" s="238"/>
      <c r="AD28" s="7"/>
      <c r="AF28" s="94" t="s">
        <v>139</v>
      </c>
      <c r="AG28" s="145">
        <f>VLOOKUP(AG3,'Fuel Factors'!$B$3:$L$41,10,FALSE)</f>
        <v>0</v>
      </c>
      <c r="AH28" s="146">
        <f>IF(AH4="",0,VLOOKUP(AH4,'Fuel Factors'!$B$3:$L$41,10,FALSE))</f>
        <v>0</v>
      </c>
      <c r="AI28" s="7">
        <f>VLOOKUP(AI3,'Fuel Factors'!$B$3:$L$41,10,FALSE)</f>
        <v>0</v>
      </c>
      <c r="AJ28" s="146">
        <f>IF(AJ4="",0,VLOOKUP(AJ4,'Fuel Factors'!$B$3:$L$41,10,FALSE))</f>
        <v>0</v>
      </c>
      <c r="AK28" s="7">
        <f>VLOOKUP(AK3,'Fuel Factors'!$B$3:$L$41,10,FALSE)</f>
        <v>0</v>
      </c>
      <c r="AL28" s="146">
        <f>IF(AL4="",0,VLOOKUP(AL4,'Fuel Factors'!$B$3:$L$41,10,FALSE))</f>
        <v>0</v>
      </c>
      <c r="AM28" s="7">
        <f>VLOOKUP(AM3,'Fuel Factors'!$B$3:$L$41,10,FALSE)</f>
        <v>0</v>
      </c>
      <c r="AN28" s="146">
        <f>IF(AN4="",0,VLOOKUP(AN4,'Fuel Factors'!$B$3:$L$41,10,FALSE))</f>
        <v>0</v>
      </c>
      <c r="AP28" s="145">
        <f>VLOOKUP(AP3,'Fuel Factors'!$B$3:$L$41,10,FALSE)</f>
        <v>0</v>
      </c>
      <c r="AQ28" s="146">
        <f>IF(AQ4="",0,VLOOKUP(AQ4,'Fuel Factors'!$B$3:$L$41,10,FALSE))</f>
        <v>0</v>
      </c>
      <c r="AR28" s="7">
        <f>VLOOKUP(AR3,'Fuel Factors'!$B$3:$L$41,10,FALSE)</f>
        <v>0</v>
      </c>
      <c r="AS28" s="146">
        <f>IF(AS4="",0,VLOOKUP(AS4,'Fuel Factors'!$B$3:$L$41,10,FALSE))</f>
        <v>0</v>
      </c>
      <c r="AT28" s="7">
        <f>VLOOKUP(AT3,'Fuel Factors'!$B$3:$L$41,10,FALSE)</f>
        <v>0</v>
      </c>
      <c r="AU28" s="146">
        <f>IF(AU4="",0,VLOOKUP(AU4,'Fuel Factors'!$B$3:$L$41,10,FALSE))</f>
        <v>0</v>
      </c>
      <c r="AV28" s="7">
        <f>VLOOKUP(AV3,'Fuel Factors'!$B$3:$L$41,10,FALSE)</f>
        <v>0</v>
      </c>
      <c r="AW28" s="146">
        <f>IF(AW4="",0,VLOOKUP(AW4,'Fuel Factors'!$B$3:$L$41,10,FALSE))</f>
        <v>0</v>
      </c>
    </row>
    <row r="29" spans="6:50" ht="15" thickBot="1" x14ac:dyDescent="0.4">
      <c r="J29" t="s">
        <v>151</v>
      </c>
      <c r="K29" s="145">
        <f>'Penalty Calculator'!L29</f>
        <v>1</v>
      </c>
      <c r="L29" s="146">
        <f>IF(L4="",0,'Penalty Calculator'!L29)</f>
        <v>0</v>
      </c>
      <c r="M29" s="145">
        <f>'Penalty Calculator'!O29</f>
        <v>1</v>
      </c>
      <c r="N29" s="146">
        <f>IF(N4="",0,'Penalty Calculator'!O29)</f>
        <v>0</v>
      </c>
      <c r="O29" s="145">
        <f>'Penalty Calculator'!R29</f>
        <v>1</v>
      </c>
      <c r="P29" s="146">
        <f>IF(P4="",0,'Penalty Calculator'!R29)</f>
        <v>0</v>
      </c>
      <c r="Q29" s="145">
        <f>'Penalty Calculator'!U29</f>
        <v>1</v>
      </c>
      <c r="R29" s="146">
        <f>IF(R4="",0,'Penalty Calculator'!U29)</f>
        <v>1</v>
      </c>
      <c r="W29" s="216">
        <f>'Penalty Calculator'!M50</f>
        <v>1</v>
      </c>
      <c r="X29" s="215">
        <f>IF(X4="",0,'Penalty Calculator'!M50)</f>
        <v>1</v>
      </c>
      <c r="Y29" s="127"/>
      <c r="Z29" s="238"/>
      <c r="AA29" s="145">
        <v>1</v>
      </c>
      <c r="AB29" s="146"/>
      <c r="AC29" s="238"/>
      <c r="AD29" s="7"/>
      <c r="AF29" t="s">
        <v>151</v>
      </c>
      <c r="AG29" s="145">
        <f>'Penalty Calculator'!L29</f>
        <v>1</v>
      </c>
      <c r="AH29" s="146">
        <f>IF(L4="",0,'Penalty Calculator'!L29)</f>
        <v>0</v>
      </c>
      <c r="AI29" s="145">
        <f>'Penalty Calculator'!O29</f>
        <v>1</v>
      </c>
      <c r="AJ29" s="146">
        <f>IF(N4="",0,'Penalty Calculator'!O29)</f>
        <v>0</v>
      </c>
      <c r="AK29" s="145">
        <f>'Penalty Calculator'!R29</f>
        <v>1</v>
      </c>
      <c r="AL29" s="146">
        <f>IF(P4="",0,'Penalty Calculator'!R29)</f>
        <v>0</v>
      </c>
      <c r="AM29" s="145">
        <f>'Penalty Calculator'!U29</f>
        <v>1</v>
      </c>
      <c r="AN29" s="146">
        <f>IF(R4="",0,'Penalty Calculator'!U29)</f>
        <v>1</v>
      </c>
      <c r="AP29" s="145">
        <v>1</v>
      </c>
      <c r="AQ29" s="146">
        <v>1</v>
      </c>
      <c r="AR29" s="145">
        <v>1</v>
      </c>
      <c r="AS29" s="146">
        <v>1</v>
      </c>
      <c r="AT29" s="145">
        <v>1</v>
      </c>
      <c r="AU29" s="146">
        <v>1</v>
      </c>
      <c r="AV29" s="145">
        <v>1</v>
      </c>
      <c r="AW29" s="146">
        <v>1</v>
      </c>
      <c r="AX29" t="s">
        <v>383</v>
      </c>
    </row>
    <row r="30" spans="6:50" ht="15" thickBot="1" x14ac:dyDescent="0.4">
      <c r="G30" s="352" t="s">
        <v>309</v>
      </c>
      <c r="H30" s="354"/>
      <c r="J30" t="s">
        <v>153</v>
      </c>
      <c r="K30" s="145">
        <v>0</v>
      </c>
      <c r="L30" s="146">
        <v>0</v>
      </c>
      <c r="M30" s="145">
        <v>0</v>
      </c>
      <c r="N30" s="146">
        <v>0</v>
      </c>
      <c r="O30" s="145">
        <v>0</v>
      </c>
      <c r="P30" s="146">
        <v>0</v>
      </c>
      <c r="Q30" s="145">
        <v>0</v>
      </c>
      <c r="R30" s="146">
        <v>0</v>
      </c>
      <c r="S30" t="s">
        <v>140</v>
      </c>
      <c r="W30" s="145">
        <v>0</v>
      </c>
      <c r="X30" s="146">
        <v>0</v>
      </c>
      <c r="Y30" s="7"/>
      <c r="Z30" s="238"/>
      <c r="AA30" s="145">
        <v>0</v>
      </c>
      <c r="AB30" s="146"/>
      <c r="AC30" s="238"/>
      <c r="AD30" s="7"/>
      <c r="AF30" t="s">
        <v>153</v>
      </c>
      <c r="AG30" s="145">
        <v>0</v>
      </c>
      <c r="AH30" s="146">
        <v>0</v>
      </c>
      <c r="AI30" s="145">
        <v>0</v>
      </c>
      <c r="AJ30" s="146">
        <v>0</v>
      </c>
      <c r="AK30" s="145">
        <v>0</v>
      </c>
      <c r="AL30" s="146">
        <v>0</v>
      </c>
      <c r="AM30" s="145">
        <v>0</v>
      </c>
      <c r="AN30" s="146">
        <v>0</v>
      </c>
      <c r="AP30" s="145">
        <v>0</v>
      </c>
      <c r="AQ30" s="146">
        <v>0</v>
      </c>
      <c r="AR30" s="145">
        <v>0</v>
      </c>
      <c r="AS30" s="146">
        <v>0</v>
      </c>
      <c r="AT30" s="145">
        <v>0</v>
      </c>
      <c r="AU30" s="146">
        <v>0</v>
      </c>
      <c r="AV30" s="145">
        <v>0</v>
      </c>
      <c r="AW30" s="146">
        <v>0</v>
      </c>
    </row>
    <row r="31" spans="6:50" x14ac:dyDescent="0.35">
      <c r="G31" s="156" t="s">
        <v>310</v>
      </c>
      <c r="H31" s="196" t="s">
        <v>311</v>
      </c>
      <c r="K31" s="145"/>
      <c r="L31" s="146"/>
      <c r="M31" s="145"/>
      <c r="N31" s="146"/>
      <c r="O31" s="145"/>
      <c r="P31" s="146"/>
      <c r="Q31" s="145"/>
      <c r="R31" s="146"/>
      <c r="W31" s="145"/>
      <c r="X31" s="146"/>
      <c r="Y31" s="7"/>
      <c r="Z31" s="238"/>
      <c r="AA31" s="145"/>
      <c r="AB31" s="146"/>
      <c r="AC31" s="238"/>
      <c r="AD31" s="7"/>
      <c r="AG31" s="145"/>
      <c r="AH31" s="146"/>
      <c r="AI31" s="145"/>
      <c r="AJ31" s="146"/>
      <c r="AK31" s="145"/>
      <c r="AL31" s="146"/>
      <c r="AM31" s="145"/>
      <c r="AN31" s="146"/>
      <c r="AP31" s="145"/>
      <c r="AQ31" s="146"/>
      <c r="AR31" s="145"/>
      <c r="AS31" s="146"/>
      <c r="AT31" s="145"/>
      <c r="AU31" s="146"/>
      <c r="AV31" s="145"/>
      <c r="AW31" s="146"/>
    </row>
    <row r="32" spans="6:50" x14ac:dyDescent="0.35">
      <c r="F32" t="s">
        <v>314</v>
      </c>
      <c r="G32" s="145">
        <v>25</v>
      </c>
      <c r="H32" s="146">
        <v>28</v>
      </c>
      <c r="J32" s="114" t="s">
        <v>202</v>
      </c>
      <c r="K32" s="145"/>
      <c r="L32" s="146"/>
      <c r="M32" s="145"/>
      <c r="N32" s="146"/>
      <c r="O32" s="145"/>
      <c r="P32" s="146"/>
      <c r="Q32" s="145"/>
      <c r="R32" s="146"/>
      <c r="U32" s="114"/>
      <c r="W32" s="145"/>
      <c r="X32" s="146"/>
      <c r="Y32" s="7"/>
      <c r="Z32" s="238"/>
      <c r="AA32" s="145"/>
      <c r="AB32" s="146"/>
      <c r="AC32" s="238"/>
      <c r="AD32" s="7"/>
      <c r="AF32" s="114" t="s">
        <v>202</v>
      </c>
      <c r="AG32" s="145"/>
      <c r="AH32" s="146"/>
      <c r="AI32" s="145"/>
      <c r="AJ32" s="146"/>
      <c r="AK32" s="145"/>
      <c r="AL32" s="146"/>
      <c r="AM32" s="145"/>
      <c r="AN32" s="146"/>
      <c r="AP32" s="145"/>
      <c r="AQ32" s="146"/>
      <c r="AR32" s="145"/>
      <c r="AS32" s="146"/>
      <c r="AT32" s="145"/>
      <c r="AU32" s="146"/>
      <c r="AV32" s="145"/>
      <c r="AW32" s="146"/>
    </row>
    <row r="33" spans="6:49" ht="15" thickBot="1" x14ac:dyDescent="0.4">
      <c r="F33" t="s">
        <v>312</v>
      </c>
      <c r="G33" s="185">
        <v>298</v>
      </c>
      <c r="H33" s="186">
        <v>265</v>
      </c>
      <c r="J33" s="94" t="s">
        <v>302</v>
      </c>
      <c r="K33" s="407">
        <f>(K5*'Penalty Calculator'!$U$4)*(IF(K4="-",100,(100-K4)))%</f>
        <v>0</v>
      </c>
      <c r="L33" s="408"/>
      <c r="M33" s="407">
        <f>(M5*'Penalty Calculator'!$U$4)*(IF(M4="-",100,(100-M4)))%</f>
        <v>0</v>
      </c>
      <c r="N33" s="408"/>
      <c r="O33" s="407">
        <f>(O5*'Penalty Calculator'!$U$4)*(IF(O4="-",100,(100-O4)))%</f>
        <v>0</v>
      </c>
      <c r="P33" s="408"/>
      <c r="Q33" s="407">
        <f>(Q5*'Penalty Calculator'!$U$4)*(IF(Q4="-",100,(100-Q4)))%</f>
        <v>0</v>
      </c>
      <c r="R33" s="408"/>
      <c r="S33" s="208" t="s">
        <v>348</v>
      </c>
      <c r="T33" s="208" t="s">
        <v>333</v>
      </c>
      <c r="V33" s="177"/>
      <c r="W33" s="409">
        <f>(W5)*(IF(W4="-",100,(100-W4)))%</f>
        <v>2732.3348294249895</v>
      </c>
      <c r="X33" s="410"/>
      <c r="Y33" s="7"/>
      <c r="Z33" s="238"/>
      <c r="AA33" s="415" t="e">
        <f>AA5</f>
        <v>#DIV/0!</v>
      </c>
      <c r="AB33" s="408"/>
      <c r="AC33" s="250"/>
      <c r="AD33" s="95"/>
      <c r="AF33" s="94" t="s">
        <v>302</v>
      </c>
      <c r="AG33" s="407">
        <f>(AG5*'Penalty Calculator'!$U$4)*(IF(AG4="-",100,(100-AG4)))%</f>
        <v>0</v>
      </c>
      <c r="AH33" s="408"/>
      <c r="AI33" s="407">
        <f>(AI5*'Penalty Calculator'!$U$4)*(IF(AI4="-",100,(100-AI4)))%</f>
        <v>0</v>
      </c>
      <c r="AJ33" s="408"/>
      <c r="AK33" s="407">
        <f>(AK5*'Penalty Calculator'!$U$4)*(IF(AK4="-",100,(100-AK4)))%</f>
        <v>0</v>
      </c>
      <c r="AL33" s="408"/>
      <c r="AM33" s="407">
        <f>(AM5*'Penalty Calculator'!$U$4)*(IF(AM4="-",100,(100-AM4)))%</f>
        <v>0</v>
      </c>
      <c r="AN33" s="408"/>
      <c r="AP33" s="415">
        <f>(AP5*'Penalty Calculator'!$U$4)*(IF(AP4="-",100,(100-AP4)))%</f>
        <v>0</v>
      </c>
      <c r="AQ33" s="416"/>
      <c r="AR33" s="415">
        <f>(AR5*'Penalty Calculator'!$U$4)*(IF(AR4="-",100,(100-AR4)))%</f>
        <v>0</v>
      </c>
      <c r="AS33" s="416"/>
      <c r="AT33" s="415">
        <f>(AT5*'Penalty Calculator'!$U$4)*(IF(AT4="-",100,(100-AT4)))%</f>
        <v>0</v>
      </c>
      <c r="AU33" s="416"/>
      <c r="AV33" s="415">
        <f>(AV5*'Penalty Calculator'!$U$4)*(IF(AV4="-",100,(100-AV4)))%</f>
        <v>0</v>
      </c>
      <c r="AW33" s="416"/>
    </row>
    <row r="34" spans="6:49" ht="15" thickBot="1" x14ac:dyDescent="0.4">
      <c r="J34" s="94" t="s">
        <v>303</v>
      </c>
      <c r="K34" s="397">
        <f>(K6*'Penalty Calculator'!$AD$4)*(IF(K4="-",100,(100-K4)))%</f>
        <v>0</v>
      </c>
      <c r="L34" s="398"/>
      <c r="M34" s="397">
        <f>(M6*'Penalty Calculator'!$AD$4)*(IF(M4="-",100,(100-M4)))%</f>
        <v>0</v>
      </c>
      <c r="N34" s="398"/>
      <c r="O34" s="397">
        <f>(O6*'Penalty Calculator'!$AD$4)*(IF(O4="-",100,(100-O4)))%</f>
        <v>0</v>
      </c>
      <c r="P34" s="398"/>
      <c r="Q34" s="397">
        <f>(Q6*'Penalty Calculator'!$AD$4)*(IF(Q4="-",100,(100-Q4)))%</f>
        <v>0</v>
      </c>
      <c r="R34" s="398"/>
      <c r="S34" s="208" t="s">
        <v>348</v>
      </c>
      <c r="T34" s="208" t="s">
        <v>332</v>
      </c>
      <c r="V34" s="177"/>
      <c r="W34" s="397">
        <f>(W6)*(IF(W4="-",100,(100-W4)))%</f>
        <v>0</v>
      </c>
      <c r="X34" s="398"/>
      <c r="Y34" s="7"/>
      <c r="Z34" s="238"/>
      <c r="AA34" s="397"/>
      <c r="AB34" s="398"/>
      <c r="AC34" s="237"/>
      <c r="AF34" s="94" t="s">
        <v>303</v>
      </c>
      <c r="AG34" s="397">
        <f>(AG6*'Penalty Calculator'!$AD$4)*(IF(AG4="-",100,(100-AG4)))%</f>
        <v>0</v>
      </c>
      <c r="AH34" s="398"/>
      <c r="AI34" s="397">
        <f>(AI6*'Penalty Calculator'!$AD$4)*(IF(AI4="-",100,(100-AI4)))%</f>
        <v>0</v>
      </c>
      <c r="AJ34" s="398"/>
      <c r="AK34" s="397">
        <f>(AK6*'Penalty Calculator'!$AD$4)*(IF(AK4="-",100,(100-AK4)))%</f>
        <v>0</v>
      </c>
      <c r="AL34" s="398"/>
      <c r="AM34" s="397">
        <f>(AM6*'Penalty Calculator'!$AD$4)*(IF(AM4="-",100,(100-AM4)))%</f>
        <v>0</v>
      </c>
      <c r="AN34" s="398"/>
      <c r="AP34" s="397">
        <f>(AP6*'Penalty Calculator'!$AD$4)*(IF(AP4="-",100,(100-AP4)))%</f>
        <v>0</v>
      </c>
      <c r="AQ34" s="398"/>
      <c r="AR34" s="397">
        <f>(AR6*'Penalty Calculator'!$AD$4)*(IF(AR4="-",100,(100-AR4)))%</f>
        <v>0</v>
      </c>
      <c r="AS34" s="398"/>
      <c r="AT34" s="397">
        <f>(AT6*'Penalty Calculator'!$AD$4)*(IF(AT4="-",100,(100-AT4)))%</f>
        <v>0</v>
      </c>
      <c r="AU34" s="398"/>
      <c r="AV34" s="397">
        <f>(AV6*'Penalty Calculator'!$AD$4)*(IF(AV4="-",100,(100-AV4)))%</f>
        <v>0</v>
      </c>
      <c r="AW34" s="398"/>
    </row>
    <row r="35" spans="6:49" ht="15" thickBot="1" x14ac:dyDescent="0.4">
      <c r="J35" s="237" t="s">
        <v>291</v>
      </c>
      <c r="K35" s="405">
        <f>IF(OR(K4="-",L4=""),K22,L22)</f>
        <v>3.1139999999999999</v>
      </c>
      <c r="L35" s="406"/>
      <c r="M35" s="405">
        <f>IF(OR(M4="-",N4=""),M22,N22)</f>
        <v>3.1509999999999998</v>
      </c>
      <c r="N35" s="406"/>
      <c r="O35" s="405">
        <f>IF(OR(O4="-",P4=""),O22,P22)</f>
        <v>3.206</v>
      </c>
      <c r="P35" s="406"/>
      <c r="Q35" s="405">
        <f>IF(OR(Q4="-",R4=""),Q22,R22)</f>
        <v>3.206</v>
      </c>
      <c r="R35" s="406"/>
      <c r="S35" s="208" t="s">
        <v>348</v>
      </c>
      <c r="T35" t="s">
        <v>335</v>
      </c>
      <c r="V35" s="177"/>
      <c r="W35" s="352">
        <f>IF(OR(W4="-",X4=""),W22,X22)</f>
        <v>3.206</v>
      </c>
      <c r="X35" s="354"/>
      <c r="Y35" s="7"/>
      <c r="Z35" s="238"/>
      <c r="AA35" s="352">
        <f>VLOOKUP(AA3,'Fuel Factors'!$B$3:$L$41,5,FALSE)</f>
        <v>3.1139999999999999</v>
      </c>
      <c r="AB35" s="354"/>
      <c r="AC35" s="237"/>
      <c r="AF35" t="s">
        <v>291</v>
      </c>
      <c r="AG35" s="352">
        <f>IF(OR(AG4="-",AH4=""),AG22,AH22)</f>
        <v>3.1139999999999999</v>
      </c>
      <c r="AH35" s="354"/>
      <c r="AI35" s="352">
        <f>IF(OR(AI4="-",AJ4=""),AI22,AJ22)</f>
        <v>3.1509999999999998</v>
      </c>
      <c r="AJ35" s="354"/>
      <c r="AK35" s="352">
        <f>IF(OR(AK4="-",AL4=""),AK22,AL22)</f>
        <v>3.206</v>
      </c>
      <c r="AL35" s="354"/>
      <c r="AM35" s="352">
        <f>IF(OR(AM4="-",AN4=""),AM22,AN22)</f>
        <v>3.206</v>
      </c>
      <c r="AN35" s="354"/>
      <c r="AP35" s="352">
        <f>IF(OR(AP4="-",AQ4=""),AP22,AQ22)</f>
        <v>3.1139999999999999</v>
      </c>
      <c r="AQ35" s="354"/>
      <c r="AR35" s="352">
        <f>IF(OR(AR4="-",AS4=""),AR22,AS22)</f>
        <v>3.1509999999999998</v>
      </c>
      <c r="AS35" s="354"/>
      <c r="AT35" s="352">
        <f>IF(OR(AT4="-",AU4=""),AT22,AU22)</f>
        <v>3.206</v>
      </c>
      <c r="AU35" s="354"/>
      <c r="AV35" s="352">
        <f>IF(OR(AV4="-",AW4=""),AV22,AW22)</f>
        <v>3.206</v>
      </c>
      <c r="AW35" s="354"/>
    </row>
    <row r="36" spans="6:49" ht="15" thickBot="1" x14ac:dyDescent="0.4">
      <c r="J36" s="237" t="s">
        <v>292</v>
      </c>
      <c r="K36" s="405">
        <f>IF(OR(K4="-",L4=""),K22+((VLOOKUP(K3,'Fuel Factors'!$B$3:$L$41,6,FALSE))*$H$32)+((VLOOKUP(K3,'Fuel Factors'!$B$3:$L$41,7,FALSE))*$H$33),(L22+((VLOOKUP(L4,'Fuel Factors'!$B$3:$L$41,6,FALSE))*$H$32)+((VLOOKUP(L4,'Fuel Factors'!$B$3:$L$41,7,FALSE))*$H$33)))</f>
        <v>3.1630999999999996</v>
      </c>
      <c r="L36" s="406"/>
      <c r="M36" s="405">
        <f>IF(OR(M4="-",N4=""),M22+((VLOOKUP(M3,'Fuel Factors'!$B$3:$L$41,6,FALSE))*$H$32)+((VLOOKUP(M3,'Fuel Factors'!$B$3:$L$41,7,FALSE))*$H$33),(N22+((VLOOKUP(N4,'Fuel Factors'!$B$3:$L$41,6,FALSE))*$H$32)+((VLOOKUP(N4,'Fuel Factors'!$B$3:$L$41,7,FALSE))*$H$33)))</f>
        <v>3.2000999999999995</v>
      </c>
      <c r="N36" s="406"/>
      <c r="O36" s="405">
        <f>IF(OR(O4="-",P4=""),O22+((VLOOKUP(O3,'Fuel Factors'!$B$3:$L$41,6,FALSE))*$H$32)+((VLOOKUP(O3,'Fuel Factors'!$B$3:$L$41,7,FALSE))*$H$33),(P22+((VLOOKUP(P4,'Fuel Factors'!$B$3:$L$41,6,FALSE))*$H$32)+((VLOOKUP(P4,'Fuel Factors'!$B$3:$L$41,7,FALSE))*$H$33)))</f>
        <v>3.2550999999999997</v>
      </c>
      <c r="P36" s="406"/>
      <c r="Q36" s="405">
        <f>IF(OR(Q4="-",R4=""),Q22+((VLOOKUP(Q3,'Fuel Factors'!$B$3:$L$41,6,FALSE))*$H$32)+((VLOOKUP(Q3,'Fuel Factors'!$B$3:$L$41,7,FALSE))*$H$33),(R22+((VLOOKUP(R4,'Fuel Factors'!$B$3:$L$41,6,FALSE))*$H$32)+((VLOOKUP(R4,'Fuel Factors'!$B$3:$L$41,7,FALSE))*$H$33)))</f>
        <v>3.2550999999999997</v>
      </c>
      <c r="R36" s="406"/>
      <c r="W36" s="405">
        <f>IF(OR(W4="-",X4=""),W22+((VLOOKUP(W3,'Fuel Factors'!$B$3:$L$41,6,FALSE))*$H$32)+((VLOOKUP(W3,'Fuel Factors'!$B$3:$L$41,7,FALSE))*$H$33),(X22+((VLOOKUP(X4,'Fuel Factors'!$B$3:$L$41,6,FALSE))*$H$32)+((VLOOKUP(X4,'Fuel Factors'!$B$3:$L$41,7,FALSE))*$H$33)))</f>
        <v>3.2550999999999997</v>
      </c>
      <c r="X36" s="406"/>
      <c r="Y36" s="7"/>
      <c r="Z36" s="238"/>
      <c r="AA36" s="352">
        <f>AA22+((VLOOKUP(AA3,'Fuel Factors'!$B$3:$L$41,6,FALSE))*$H$32)+((VLOOKUP(AA3,'Fuel Factors'!$B$3:$L$41,7,FALSE))*$H$33)</f>
        <v>3.1630999999999996</v>
      </c>
      <c r="AB36" s="354"/>
      <c r="AC36" s="237"/>
      <c r="AF36" t="s">
        <v>292</v>
      </c>
      <c r="AG36" s="352">
        <f>IF(OR(AG4="-",AH4=""),AG22+((VLOOKUP(AG3,'Fuel Factors'!$B$3:$L$41,6,FALSE))*$H$32)+((VLOOKUP(AG3,'Fuel Factors'!$B$3:$L$41,7,FALSE))*$H$33),(AH22+((VLOOKUP(AH4,'Fuel Factors'!$B$3:$L$41,6,FALSE))*$H$32)+((VLOOKUP(AH4,'Fuel Factors'!$B$3:$L$41,7,FALSE))*$H$33)))</f>
        <v>3.1630999999999996</v>
      </c>
      <c r="AH36" s="354"/>
      <c r="AI36" s="352">
        <f>IF(OR(AI4="-",AJ4=""),AI22+((VLOOKUP(AI3,'Fuel Factors'!$B$3:$L$41,6,FALSE))*$H$32)+((VLOOKUP(AI3,'Fuel Factors'!$B$3:$L$41,7,FALSE))*$H$33),(AJ22+((VLOOKUP(AJ4,'Fuel Factors'!$B$3:$L$41,6,FALSE))*$H$32)+((VLOOKUP(AJ4,'Fuel Factors'!$B$3:$L$41,7,FALSE))*$H$33)))</f>
        <v>3.2000999999999995</v>
      </c>
      <c r="AJ36" s="354"/>
      <c r="AK36" s="352">
        <f>IF(OR(AK4="-",AL4=""),AK22+((VLOOKUP(AK3,'Fuel Factors'!$B$3:$L$41,6,FALSE))*$H$32)+((VLOOKUP(AK3,'Fuel Factors'!$B$3:$L$41,7,FALSE))*$H$33),(AL22+((VLOOKUP(AL4,'Fuel Factors'!$B$3:$L$41,6,FALSE))*$H$32)+((VLOOKUP(AL4,'Fuel Factors'!$B$3:$L$41,7,FALSE))*$H$33)))</f>
        <v>3.2550999999999997</v>
      </c>
      <c r="AL36" s="354"/>
      <c r="AM36" s="352">
        <f>IF(OR(AM4="-",AN4=""),AM22+((VLOOKUP(AM3,'Fuel Factors'!$B$3:$L$41,6,FALSE))*$H$32)+((VLOOKUP(AM3,'Fuel Factors'!$B$3:$L$41,7,FALSE))*$H$33),(AN22+((VLOOKUP(AN4,'Fuel Factors'!$B$3:$L$41,6,FALSE))*$H$32)+((VLOOKUP(AN4,'Fuel Factors'!$B$3:$L$41,7,FALSE))*$H$33)))</f>
        <v>3.2550999999999997</v>
      </c>
      <c r="AN36" s="354"/>
      <c r="AP36" s="352">
        <f>IF(OR(AP4="-",AQ4=""),AP22+((VLOOKUP(AP3,'Fuel Factors'!$B$3:$L$41,6,FALSE))*$H$32)+((VLOOKUP(AP3,'Fuel Factors'!$B$3:$L$41,7,FALSE))*$H$33),(AQ22+((VLOOKUP(AQ4,'Fuel Factors'!$B$3:$L$41,6,FALSE))*$H$32)+((VLOOKUP(AQ4,'Fuel Factors'!$B$3:$L$41,7,FALSE))*$H$33)))</f>
        <v>3.1630999999999996</v>
      </c>
      <c r="AQ36" s="354"/>
      <c r="AR36" s="352">
        <f>IF(OR(AR4="-",AS4=""),AR22+((VLOOKUP(AR3,'Fuel Factors'!$B$3:$L$41,6,FALSE))*$H$32)+((VLOOKUP(AR3,'Fuel Factors'!$B$3:$L$41,7,FALSE))*$H$33),(AS22+((VLOOKUP(AS4,'Fuel Factors'!$B$3:$L$41,6,FALSE))*$H$32)+((VLOOKUP(AS4,'Fuel Factors'!$B$3:$L$41,7,FALSE))*$H$33)))</f>
        <v>3.2000999999999995</v>
      </c>
      <c r="AS36" s="354"/>
      <c r="AT36" s="352">
        <f>IF(OR(AT4="-",AU4=""),AT22+((VLOOKUP(AT3,'Fuel Factors'!$B$3:$L$41,6,FALSE))*$H$32)+((VLOOKUP(AT3,'Fuel Factors'!$B$3:$L$41,7,FALSE))*$H$33),(AU22+((VLOOKUP(AU4,'Fuel Factors'!$B$3:$L$41,6,FALSE))*$H$32)+((VLOOKUP(AU4,'Fuel Factors'!$B$3:$L$41,7,FALSE))*$H$33)))</f>
        <v>3.2550999999999997</v>
      </c>
      <c r="AU36" s="354"/>
      <c r="AV36" s="352">
        <f>IF(OR(AV4="-",AW4=""),AV22+((VLOOKUP(AV3,'Fuel Factors'!$B$3:$L$41,6,FALSE))*$H$32)+((VLOOKUP(AV3,'Fuel Factors'!$B$3:$L$41,7,FALSE))*$H$33),(AW22+((VLOOKUP(AW4,'Fuel Factors'!$B$3:$L$41,6,FALSE))*$H$32)+((VLOOKUP(AW4,'Fuel Factors'!$B$3:$L$41,7,FALSE))*$H$33)))</f>
        <v>3.2550999999999997</v>
      </c>
      <c r="AW36" s="354"/>
    </row>
    <row r="37" spans="6:49" x14ac:dyDescent="0.35">
      <c r="W37" s="7"/>
      <c r="X37" s="7"/>
      <c r="Y37" s="7"/>
      <c r="Z37" s="238"/>
      <c r="AA37" s="7"/>
      <c r="AB37" s="7"/>
      <c r="AC37" s="238"/>
      <c r="AD37" s="7"/>
      <c r="AG37" s="7"/>
      <c r="AH37" s="7"/>
      <c r="AI37" s="7"/>
      <c r="AJ37" s="7"/>
      <c r="AK37" s="7"/>
      <c r="AL37" s="7"/>
      <c r="AM37" s="7"/>
      <c r="AN37" s="7"/>
    </row>
    <row r="38" spans="6:49" x14ac:dyDescent="0.35">
      <c r="K38"/>
      <c r="L38"/>
      <c r="M38"/>
      <c r="W38" s="7"/>
      <c r="X38" s="7"/>
      <c r="Y38" s="7"/>
      <c r="Z38" s="238"/>
      <c r="AA38" s="7"/>
      <c r="AB38" s="7"/>
      <c r="AC38" s="238"/>
      <c r="AD38" s="7"/>
    </row>
    <row r="39" spans="6:49" x14ac:dyDescent="0.35">
      <c r="K39"/>
      <c r="L39"/>
      <c r="M39"/>
      <c r="W39" s="7"/>
      <c r="X39" s="7"/>
      <c r="Y39" s="7"/>
      <c r="Z39" s="238"/>
      <c r="AA39" s="7"/>
      <c r="AB39" s="7"/>
      <c r="AC39" s="238"/>
      <c r="AD39" s="7"/>
    </row>
    <row r="40" spans="6:49" x14ac:dyDescent="0.35">
      <c r="K40"/>
      <c r="L40">
        <f>K12+M12+O12+Q12</f>
        <v>0</v>
      </c>
      <c r="M40">
        <f>K12+O12+Q12</f>
        <v>0</v>
      </c>
      <c r="W40" s="7"/>
      <c r="X40" s="7"/>
      <c r="Y40" s="7"/>
      <c r="Z40" s="238"/>
      <c r="AA40" s="7"/>
      <c r="AB40" s="7"/>
      <c r="AC40" s="238"/>
      <c r="AD40" s="7"/>
    </row>
    <row r="41" spans="6:49" x14ac:dyDescent="0.35">
      <c r="K41"/>
      <c r="L41">
        <f>L40-M10</f>
        <v>0</v>
      </c>
      <c r="M41" s="293" t="e">
        <f>K12/M40</f>
        <v>#DIV/0!</v>
      </c>
      <c r="N41" s="7" t="e">
        <f>L41*M41</f>
        <v>#DIV/0!</v>
      </c>
      <c r="W41" s="7"/>
      <c r="X41" s="7"/>
      <c r="Y41" s="7"/>
      <c r="Z41" s="238"/>
      <c r="AA41" s="7"/>
      <c r="AB41" s="7"/>
      <c r="AC41" s="238"/>
      <c r="AD41" s="7"/>
    </row>
    <row r="42" spans="6:49" x14ac:dyDescent="0.35">
      <c r="K42"/>
      <c r="L42">
        <v>501.30000000000007</v>
      </c>
      <c r="M42" s="293" t="e">
        <f>O12/M40</f>
        <v>#DIV/0!</v>
      </c>
      <c r="N42" s="7" t="e">
        <f t="shared" ref="N42:N51" si="15">L42*M42</f>
        <v>#DIV/0!</v>
      </c>
      <c r="W42" s="7"/>
      <c r="X42" s="7"/>
      <c r="Z42" s="237"/>
      <c r="AC42" s="238"/>
      <c r="AD42" s="7"/>
    </row>
    <row r="43" spans="6:49" ht="15" hidden="1" customHeight="1" x14ac:dyDescent="0.35">
      <c r="K43"/>
      <c r="L43">
        <v>501.30000000000007</v>
      </c>
      <c r="M43" s="293"/>
      <c r="N43" s="7">
        <f t="shared" si="15"/>
        <v>0</v>
      </c>
      <c r="W43" s="7"/>
      <c r="X43" s="7"/>
      <c r="Z43" s="237"/>
      <c r="AC43" s="238"/>
      <c r="AD43" s="7"/>
    </row>
    <row r="44" spans="6:49" ht="15" hidden="1" customHeight="1" x14ac:dyDescent="0.35">
      <c r="K44"/>
      <c r="L44">
        <v>501.30000000000007</v>
      </c>
      <c r="M44" s="293"/>
      <c r="N44" s="7">
        <f t="shared" si="15"/>
        <v>0</v>
      </c>
      <c r="W44" s="7"/>
      <c r="X44" s="7"/>
      <c r="Z44" s="237"/>
      <c r="AC44" s="238"/>
      <c r="AD44" s="7"/>
    </row>
    <row r="45" spans="6:49" ht="15" hidden="1" customHeight="1" x14ac:dyDescent="0.35">
      <c r="K45"/>
      <c r="L45">
        <v>501.30000000000007</v>
      </c>
      <c r="M45" s="293"/>
      <c r="N45" s="7">
        <f t="shared" si="15"/>
        <v>0</v>
      </c>
      <c r="W45" s="7"/>
      <c r="X45" s="7"/>
      <c r="Z45" s="237"/>
      <c r="AC45" s="238"/>
      <c r="AD45" s="7"/>
    </row>
    <row r="46" spans="6:49" ht="15" hidden="1" customHeight="1" x14ac:dyDescent="0.35">
      <c r="K46"/>
      <c r="L46">
        <v>501.30000000000007</v>
      </c>
      <c r="M46" s="293"/>
      <c r="N46" s="7">
        <f t="shared" si="15"/>
        <v>0</v>
      </c>
      <c r="W46" s="7"/>
      <c r="X46" s="7"/>
      <c r="Z46" s="237"/>
      <c r="AC46" s="238"/>
      <c r="AD46" s="7"/>
    </row>
    <row r="47" spans="6:49" ht="15" hidden="1" customHeight="1" x14ac:dyDescent="0.35">
      <c r="K47"/>
      <c r="L47">
        <v>501.30000000000007</v>
      </c>
      <c r="M47" s="293"/>
      <c r="N47" s="7">
        <f t="shared" si="15"/>
        <v>0</v>
      </c>
      <c r="W47" s="7"/>
      <c r="X47" s="7"/>
      <c r="Z47" s="237"/>
      <c r="AC47" s="238"/>
      <c r="AD47" s="7"/>
    </row>
    <row r="48" spans="6:49" ht="15" hidden="1" customHeight="1" x14ac:dyDescent="0.35">
      <c r="K48"/>
      <c r="L48">
        <v>501.30000000000007</v>
      </c>
      <c r="M48" s="293"/>
      <c r="N48" s="7">
        <f t="shared" si="15"/>
        <v>0</v>
      </c>
      <c r="W48" s="7"/>
      <c r="X48" s="7"/>
      <c r="Z48" s="237"/>
      <c r="AC48" s="238"/>
      <c r="AD48" s="7"/>
    </row>
    <row r="49" spans="3:46" ht="15" hidden="1" customHeight="1" x14ac:dyDescent="0.35">
      <c r="K49"/>
      <c r="L49">
        <v>501.30000000000007</v>
      </c>
      <c r="M49" s="293"/>
      <c r="N49" s="7">
        <f t="shared" si="15"/>
        <v>0</v>
      </c>
      <c r="W49" s="7"/>
      <c r="X49" s="7"/>
      <c r="Z49" s="237"/>
      <c r="AC49" s="238"/>
      <c r="AD49" s="7"/>
    </row>
    <row r="50" spans="3:46" ht="15" hidden="1" customHeight="1" x14ac:dyDescent="0.35">
      <c r="K50"/>
      <c r="L50">
        <v>501.30000000000007</v>
      </c>
      <c r="M50" s="293"/>
      <c r="N50" s="7">
        <f t="shared" si="15"/>
        <v>0</v>
      </c>
      <c r="W50" s="7"/>
      <c r="X50" s="7"/>
      <c r="Z50" s="237"/>
      <c r="AC50" s="238"/>
      <c r="AD50" s="7"/>
    </row>
    <row r="51" spans="3:46" x14ac:dyDescent="0.35">
      <c r="K51"/>
      <c r="L51">
        <v>501.30000000000007</v>
      </c>
      <c r="M51" s="293" t="e">
        <f>Q12/M40</f>
        <v>#DIV/0!</v>
      </c>
      <c r="N51" s="7" t="e">
        <f t="shared" si="15"/>
        <v>#DIV/0!</v>
      </c>
      <c r="X51" s="7"/>
      <c r="Z51" s="237"/>
      <c r="AC51" s="237"/>
    </row>
    <row r="52" spans="3:46" x14ac:dyDescent="0.35">
      <c r="C52" t="s">
        <v>8</v>
      </c>
      <c r="D52" s="160" t="e">
        <f>(((K21*K26*K24)+(L21*L26*L24)+(M21*M26*M24)+(N21*N26*N24)+(O21*O26*O24)+(P21*P26*P24)+(Q21*Q26*Q24)+(R21*R26*R24))/((K21*K29*K24)+(L21*L29*L24)+(M24*M29*M21)+(N21*N29*N24)+(O24*O29*O21)+(P21*P29*P24)+(Q24*Q29*Q21)+(R24*R29*R21)))</f>
        <v>#DIV/0!</v>
      </c>
      <c r="V52" t="s">
        <v>8</v>
      </c>
      <c r="W52" s="160">
        <f>(((W21*W26*W24)+(X21*X26*X24))/((W21*W29*W24)+(X21*X29*X24)))</f>
        <v>-0.88777750670895161</v>
      </c>
      <c r="X52" s="7"/>
      <c r="Z52" s="237" t="s">
        <v>8</v>
      </c>
      <c r="AA52" t="e">
        <f>(((K21*K26*K24)+(L21*L26*L24)+(M21*M26*M24)+(N21*N26*N24)+(O21*O26*O24)+(P21*P26*P24)+(Q21*Q26*Q24)+(R21*R26*R24)+(AA21*AA26*AA24))/((K21*K29*K24)+(L21*L29*L24)+(M24*M29*M21)+(N21*N29*N24)+(O24*O29*O21)+(P21*P29*P24)+(Q24*Q29*Q21)+(R24*R29*R21)+(AA24*AA29*AA21)))</f>
        <v>#DIV/0!</v>
      </c>
      <c r="AC52" s="237"/>
      <c r="AN52" t="s">
        <v>8</v>
      </c>
      <c r="AO52" t="e">
        <f>(((AG21*AG26*AG24)+(AH21*AH26*AH24)+(AI21*AI26*AI24)+(AJ21*AJ26*AJ24)+(AK21*AK26*AK24)+(AL21*AL26*AL24)+(AM21*AM26*AM24)+(AN21*AN26*AN24)+(AP21*AP26*AP24)+(AQ21*AQ26*AQ24)+(AR21*AR26*AR24)+(AS21*AS26*AS24)+(AT21*AT26*AT24)+(AU21*AU26*AU24)+(AV21*AV26*AV24)+(AW21*AW26*AW24))/((AG21*AG29*AG24)+(AH21*AH29*AH24)+(AI24*AI29*AI21)+(AJ21*AJ29*AJ24)+(AK24*AK29*AK21)+(AL21*AL29*AL24)+(AM24*AM29*AM21)+(AN24*AN29*AN21)+(AP24*AP29*AP21)+(AQ24*AQ29*AQ21)+(AR24*AR29*AR21)+(AS24*AS29*AS21)+(AT24*AT29*AT21)+(AU24*AU29*AU21)+(AV24*AV29*AV21)+(AW24*AW29*AW21)))</f>
        <v>#DIV/0!</v>
      </c>
      <c r="AR52" s="386" t="s">
        <v>168</v>
      </c>
      <c r="AS52" s="386"/>
      <c r="AT52" s="8">
        <f>(AG33*IF('Penalty Calculator'!L34=2025,AG35,AG36))+(AI33*IF('Penalty Calculator'!L34=2025,AI35,AI36))+(AK33*IF('Penalty Calculator'!L34=2025,AK35,AK36))+(AM33*IF('Penalty Calculator'!L34=2025,AM35,AM36))+(AP33*IF('Penalty Calculator'!L34=2025,AP35,AP36))+(AR33*IF('Penalty Calculator'!L34=2025,AR35,AR36))+(AT33*IF('Penalty Calculator'!L34=2025,AT35,AT36))+(AV33*IF('Penalty Calculator'!L34=2025,AV35,AV36))</f>
        <v>0</v>
      </c>
    </row>
    <row r="53" spans="3:46" x14ac:dyDescent="0.35">
      <c r="C53" t="s">
        <v>9</v>
      </c>
      <c r="D53" s="160" t="e">
        <f>((K21*(((1-(K27/100))*K23)+((K27/100)*K28)))+(L21*(((1-(L27/100))*L23)+((L27/100)*L28)))+(M21*(((1-(M27/100))*M23)+((M27/100)*M28)))+(N21*(((1-(N27/100))*N23)+((N27/100)*N28)))+(O21*(((1-(O27/100))*O23)+((O27/100)*O28)))+(P21*(((1-(P27/100))*P23)+((P27/100)*P28)))+(Q21*(((1-(Q27/100))*Q23)+((Q27/100)*Q28)))+(R21*(((1-(R27/100))*R23)+((R27/100)*R28))))/((K21*K24*K29)+(L21*L24*L29)+(M21*M24*M29)+(N21*N24*N29)+(O21*O24*O29)+(P21*P24*P29)+(Q21*Q24*Q29)+(R21*R24*R29))</f>
        <v>#DIV/0!</v>
      </c>
      <c r="F53" t="s">
        <v>154</v>
      </c>
      <c r="K53" s="95"/>
      <c r="L53" s="95"/>
      <c r="M53" s="95"/>
      <c r="N53" s="95"/>
      <c r="O53" s="95"/>
      <c r="P53" s="95"/>
      <c r="Q53" s="95"/>
      <c r="R53" s="95"/>
      <c r="V53" t="s">
        <v>9</v>
      </c>
      <c r="W53" s="160">
        <f>((W21*(((1-(W27/100))*W23)+((W27/100)*W28)))+(X21*(((1-(X27/100))*X23)+((X27/100)*X28))))/((W21*W24*W29)+(X21*X24*X29))</f>
        <v>76.830690412295681</v>
      </c>
      <c r="X53" s="7"/>
      <c r="Z53" s="237" t="s">
        <v>9</v>
      </c>
      <c r="AA53" t="e">
        <f>((K21*(((1-(K27/100))*K23)+((K27/100)*K28)))+(L21*(((1-(L27/100))*L23)+((L27/100)*L28)))+(M21*(((1-(M27/100))*M23)+((M27/100)*M28)))+(N21*(((1-(N27/100))*N23)+((N27/100)*N28)))+(O21*(((1-(O27/100))*O23)+((O27/100)*O28)))+(P21*(((1-(P27/100))*P23)+((P27/100)*P28)))+(Q21*(((1-(Q27/100))*Q23)+((Q27/100)*Q28)))+(R21*(((1-(R27/100))*R23)+((R27/100)*R28)))+(AA21*(((1-(AA27/100))*AA23)+((AA27/100)*AA28))))/((K21*K24*K29)+(L21*L24*L29)+(M21*M24*M29)+(N21*N24*N29)+(O21*O24*O29)+(P21*P24*P29)+(Q21*Q24*Q29)+(R21*R24*R29)+(AA21*AA24*AA29))</f>
        <v>#DIV/0!</v>
      </c>
      <c r="AC53" s="237"/>
      <c r="AN53" t="s">
        <v>9</v>
      </c>
      <c r="AO53" t="e">
        <f>((AG21*(((1-(AG27/100))*AG23)+((AG27/100)*AG28)))+(AH21*(((1-(AH27/100))*AH23)+((AH27/100)*AH28)))+(AI21*(((1-(AI27/100))*AI23)+((AI27/100)*AI28)))+(AJ21*(((1-(AJ27/100))*AJ23)+((AJ27/100)*AJ28)))+(AK21*(((1-(AK27/100))*AK23)+((AK27/100)*AK28)))+(AL21*(((1-(AL27/100))*AL23)+((AL27/100)*AL28)))+(AM21*(((1-(AM27/100))*AM23)+((AM27/100)*AM28)))+(AN21*(((1-(AN27/100))*AN23)+((AN27/100)*AN28)))+(AP21*(((1-(AP27/100))*AP23)+((AP27/100)*AP28)))+(AQ21*(((1-(AQ27/100))*AQ23)+((AQ27/100)*AQ28)))+(AR21*(((1-(AR27/100))*AR23)+((AR27/100)*AR28)))+(AS21*(((1-(AS27/100))*AS23)+((AS27/100)*AS28)))+(AT21*(((1-(AT27/100))*AT23)+((AT27/100)*AT28)))+(AU21*(((1-(AU27/100))*AU23)+((AU27/100)*AU28)))+(AV21*(((1-(AV27/100))*AV23)+((AV27/100)*AV28)))+(AW21*(((1-(AW27/100))*AW23)+((AW27/100)*AW28))))/((AG21*AG29*AG24)+(AH21*AH29*AH24)+(AI24*AI29*AI21)+(AJ21*AJ29*AJ24)+(AK24*AK29*AK21)+(AL21*AL29*AL24)+(AM24*AM29*AM21)+(AN24*AN29*AN21)+(AP24*AP29*AP21)+(AQ24*AQ29*AQ21)+(AR24*AR29*AR21)+(AS24*AS29*AS21)+(AT24*AT29*AT21)+(AU24*AU29*AU21)+(AV24*AV29*AV21)+(AW24*AW29*AW21))</f>
        <v>#DIV/0!</v>
      </c>
      <c r="AR53" s="386" t="s">
        <v>169</v>
      </c>
      <c r="AS53" s="386"/>
      <c r="AT53" s="8">
        <f>(AG34*IF('Penalty Calculator'!L34=2025,AG35,AG36))+(AI34*IF('Penalty Calculator'!L34=2025,AI35,AI36))+(AK34*IF('Penalty Calculator'!L34=2025,AK35,AK36))+(AM34*IF('Penalty Calculator'!L34=2025,AM35,AM36))+(AP34*IF('Penalty Calculator'!L34=2025,AP35,AP36))+(AR34*IF('Penalty Calculator'!L34=2025,AR35,AR36))+(AT34*IF('Penalty Calculator'!L34=2025,AT35,AT36))+(AV34*IF('Penalty Calculator'!L34=2025,AV35,AV36))</f>
        <v>0</v>
      </c>
    </row>
    <row r="54" spans="3:46" x14ac:dyDescent="0.35">
      <c r="C54" t="s">
        <v>141</v>
      </c>
      <c r="D54">
        <f>'Penalty Calculator'!J6</f>
        <v>1</v>
      </c>
      <c r="F54" t="s">
        <v>155</v>
      </c>
      <c r="M54" s="7">
        <v>-42.054594594594597</v>
      </c>
      <c r="V54" t="s">
        <v>141</v>
      </c>
      <c r="W54" s="7">
        <f>'Penalty Calculator'!J6</f>
        <v>1</v>
      </c>
      <c r="X54" s="7"/>
      <c r="Z54" s="237" t="s">
        <v>141</v>
      </c>
      <c r="AA54">
        <f>'Penalty Calculator'!J6</f>
        <v>1</v>
      </c>
      <c r="AC54" s="237"/>
      <c r="AN54" t="s">
        <v>141</v>
      </c>
      <c r="AO54">
        <f>'Penalty Calculator'!J6</f>
        <v>1</v>
      </c>
      <c r="AR54" s="386" t="s">
        <v>170</v>
      </c>
      <c r="AS54" s="386"/>
      <c r="AT54" s="8">
        <f>AT52+AT53</f>
        <v>0</v>
      </c>
    </row>
    <row r="55" spans="3:46" x14ac:dyDescent="0.35">
      <c r="C55" t="s">
        <v>142</v>
      </c>
      <c r="D55" s="340" t="e">
        <f>(SUM(D52:D53))*D54</f>
        <v>#DIV/0!</v>
      </c>
      <c r="E55" s="95"/>
      <c r="F55" t="s">
        <v>183</v>
      </c>
      <c r="K55" s="95"/>
      <c r="V55" t="s">
        <v>142</v>
      </c>
      <c r="W55" s="333">
        <f>(SUM(W52:W53))*W54</f>
        <v>75.942912905586724</v>
      </c>
      <c r="X55" s="7"/>
      <c r="Z55" s="237" t="s">
        <v>142</v>
      </c>
      <c r="AA55" t="e">
        <f>(SUM(AA52:AA53))*W54</f>
        <v>#DIV/0!</v>
      </c>
      <c r="AC55" s="237"/>
      <c r="AN55" t="s">
        <v>142</v>
      </c>
      <c r="AO55" t="e">
        <f>(SUM(AO52:AO53))*AO54</f>
        <v>#DIV/0!</v>
      </c>
      <c r="AR55" s="386" t="s">
        <v>152</v>
      </c>
      <c r="AS55" s="386"/>
      <c r="AT55" s="8">
        <f>'Penalty Calculator'!O6</f>
        <v>70</v>
      </c>
    </row>
    <row r="56" spans="3:46" x14ac:dyDescent="0.35">
      <c r="C56" t="s">
        <v>143</v>
      </c>
      <c r="D56">
        <v>91.16</v>
      </c>
      <c r="X56" s="7"/>
      <c r="Z56" s="237" t="s">
        <v>143</v>
      </c>
      <c r="AA56">
        <v>91.16</v>
      </c>
      <c r="AC56" s="237"/>
      <c r="AN56" t="s">
        <v>143</v>
      </c>
      <c r="AO56">
        <v>91.16</v>
      </c>
      <c r="AR56" s="387" t="s">
        <v>340</v>
      </c>
      <c r="AS56" s="387"/>
      <c r="AT56" s="8">
        <f>IF('Penalty Calculator'!L34=2025,(AT54*0.7)*AT55,(G98*1)*AT55)</f>
        <v>0</v>
      </c>
    </row>
    <row r="57" spans="3:46" x14ac:dyDescent="0.35">
      <c r="C57" t="s">
        <v>144</v>
      </c>
      <c r="D57" s="94">
        <f>D56*0.98</f>
        <v>89.336799999999997</v>
      </c>
      <c r="F57" t="s">
        <v>156</v>
      </c>
      <c r="V57" t="s">
        <v>336</v>
      </c>
      <c r="W57" s="94">
        <f>VLOOKUP('Penalty Calculator'!L34,'Back end calculation'!C108:H133,6,FALSE)</f>
        <v>89.336799999999997</v>
      </c>
      <c r="X57" s="7"/>
      <c r="Z57" s="237" t="str">
        <f>CONCATENATE("Target Year ",'Penalty Calculator'!L34)</f>
        <v>Target Year 2025</v>
      </c>
      <c r="AA57" s="130">
        <f>'Penalty Calculator'!L34</f>
        <v>2025</v>
      </c>
      <c r="AC57" s="237"/>
      <c r="AN57" t="str">
        <f>CONCATENATE("Target Year ",'Penalty Calculator'!Z34)</f>
        <v xml:space="preserve">Target Year </v>
      </c>
      <c r="AO57" s="130">
        <f>'Penalty Calculator'!L34</f>
        <v>2025</v>
      </c>
    </row>
    <row r="58" spans="3:46" x14ac:dyDescent="0.35">
      <c r="C58">
        <v>2030</v>
      </c>
      <c r="D58">
        <f>D56*0.94</f>
        <v>85.690399999999997</v>
      </c>
      <c r="F58" t="s">
        <v>157</v>
      </c>
      <c r="V58" t="s">
        <v>341</v>
      </c>
      <c r="W58" s="214">
        <f>(W57-$W$55)*((($W$21*$W$24)+($X$21*$X$24)))</f>
        <v>2142.9914096362959</v>
      </c>
      <c r="Z58" s="237" t="s">
        <v>358</v>
      </c>
      <c r="AA58">
        <f>IF(AND(AA57&gt;=2025,AA57&lt;=2029),AA56*0.98,IF(AND(AA57&gt;=2030,AA57&lt;=2034),AA56*0.94,IF(AND(AA57&gt;=2035,AA57&lt;=2039),AA56*0.855,IF(AND(AA57&gt;=2040,AA57&lt;=2044),AA56*0.69,IF(AND(AA57&gt;=2045,AA57&lt;=2049),AA56*0.38,IF((AA57&gt;=2050),AA56*0.2,""))))))</f>
        <v>89.336799999999997</v>
      </c>
      <c r="AC58" s="237"/>
      <c r="AN58" t="s">
        <v>358</v>
      </c>
      <c r="AO58">
        <f>IF(AND(AO57&gt;=2025,AO57&lt;=2029),AO56*0.98,IF(AND(AO57&gt;=2030,AO57&lt;=2034),AO56*0.94,IF(AND(AO57&gt;=2035,AO57&lt;=2039),AO56*0.855,IF(AND(AO57&gt;=2040,AO57&lt;=2044),AO56*0.69,IF(AND(AO57&gt;=2045,AO57&lt;=2049),AO56*0.38,IF((AO57&gt;=2050),AO56*0.2,""))))))</f>
        <v>89.336799999999997</v>
      </c>
    </row>
    <row r="59" spans="3:46" ht="15" thickBot="1" x14ac:dyDescent="0.4">
      <c r="C59">
        <v>2035</v>
      </c>
      <c r="D59">
        <f>D56*0.855</f>
        <v>77.941800000000001</v>
      </c>
      <c r="F59" t="s">
        <v>158</v>
      </c>
      <c r="Z59" s="237" t="s">
        <v>305</v>
      </c>
      <c r="AA59" t="e">
        <f>(AA58-$AA$55)*((($K$21*$K$24)+($L$21*$L$24)+($M$21*$M$24)+($N$21*$N$24)+($O$21*$O$24)+($P$21*$P$24)+($Q$21*$Q$24)+($R$21*$R$24)+($AA$21*$AA$24))*1000000)</f>
        <v>#DIV/0!</v>
      </c>
      <c r="AC59" s="237"/>
      <c r="AN59" t="s">
        <v>305</v>
      </c>
      <c r="AO59" t="e">
        <f>(AO58-$AO$55)*((($AG$21*$AG$24)+($AH$21*$AH$24)+($AI$21*$AI$24)+($AJ$21*$AJ$24)+($AK$21*$AK$24)+($AL$21*$AL$24)+($AM$21*$AM$24)+($AN$21*$AN$24)+($AP$21*$AP$24)+($AQ$21*$AQ$24)+($AR$21*$AR$24)+($AS$21*$AS$24)+($AT$21*$AT$24)+($AU$21*$AU$24)+($AV$21*$AV$24)+($AW$21*$AW$24))*1000000)</f>
        <v>#DIV/0!</v>
      </c>
    </row>
    <row r="60" spans="3:46" ht="15" thickBot="1" x14ac:dyDescent="0.4">
      <c r="C60">
        <v>2040</v>
      </c>
      <c r="D60">
        <f>D56*0.69</f>
        <v>62.900399999999991</v>
      </c>
      <c r="F60" t="s">
        <v>159</v>
      </c>
      <c r="R60" s="414" t="s">
        <v>342</v>
      </c>
      <c r="S60" s="414"/>
      <c r="T60" s="414"/>
      <c r="U60" s="213" t="e">
        <f>IF((VLOOKUP('Penalty Calculator'!L34,'Back end calculation'!C108:G133,2,FALSE))&gt;0,"N/A",(VLOOKUP('Penalty Calculator'!L34,'Back end calculation'!C108:G133,2,FALSE)))</f>
        <v>#DIV/0!</v>
      </c>
      <c r="V60" s="97"/>
      <c r="W60" s="97" t="e">
        <f>U60+W58</f>
        <v>#DIV/0!</v>
      </c>
      <c r="Z60" s="237" t="s">
        <v>163</v>
      </c>
      <c r="AA60" s="119" t="e">
        <f>(((-AA59)/($AA$55*41000))*2400)*'Penalty Calculator'!$W$6</f>
        <v>#DIV/0!</v>
      </c>
      <c r="AC60" s="237"/>
      <c r="AN60" t="s">
        <v>163</v>
      </c>
      <c r="AO60" s="119" t="e">
        <f>(((-AO59)/($AO$55*41000))*2400)*'Penalty Calculator'!$W$6</f>
        <v>#DIV/0!</v>
      </c>
    </row>
    <row r="61" spans="3:46" x14ac:dyDescent="0.35">
      <c r="C61">
        <v>2045</v>
      </c>
      <c r="D61">
        <f>D56*0.38</f>
        <v>34.640799999999999</v>
      </c>
      <c r="F61" t="s">
        <v>160</v>
      </c>
    </row>
    <row r="62" spans="3:46" x14ac:dyDescent="0.35">
      <c r="C62">
        <v>2050</v>
      </c>
      <c r="D62">
        <f>D56*0.2</f>
        <v>18.231999999999999</v>
      </c>
      <c r="F62" t="s">
        <v>161</v>
      </c>
    </row>
    <row r="70" spans="4:6" x14ac:dyDescent="0.35">
      <c r="E70" t="s">
        <v>185</v>
      </c>
      <c r="F70" t="s">
        <v>184</v>
      </c>
    </row>
    <row r="71" spans="4:6" x14ac:dyDescent="0.35">
      <c r="D71" t="s">
        <v>144</v>
      </c>
      <c r="E71" s="96" t="e">
        <f t="shared" ref="E71:E76" si="16">(D57-$D$55)*((($K$21*$K$24)+($L$21*$L$24)+($M$21*$M$24)+($N$21*$N$24)+($O$21*$O$24)+($P$21*$P$24)+($Q$21*$Q$24)+($R$21*$R$24))*1000000)</f>
        <v>#DIV/0!</v>
      </c>
      <c r="F71" s="97" t="e">
        <f>E71/1000000</f>
        <v>#DIV/0!</v>
      </c>
    </row>
    <row r="72" spans="4:6" x14ac:dyDescent="0.35">
      <c r="D72">
        <v>2030</v>
      </c>
      <c r="E72" s="96" t="e">
        <f t="shared" si="16"/>
        <v>#DIV/0!</v>
      </c>
      <c r="F72" s="97" t="e">
        <f t="shared" ref="F72:F76" si="17">E72/1000000</f>
        <v>#DIV/0!</v>
      </c>
    </row>
    <row r="73" spans="4:6" x14ac:dyDescent="0.35">
      <c r="D73">
        <v>2035</v>
      </c>
      <c r="E73" s="96" t="e">
        <f t="shared" si="16"/>
        <v>#DIV/0!</v>
      </c>
      <c r="F73" s="97" t="e">
        <f t="shared" si="17"/>
        <v>#DIV/0!</v>
      </c>
    </row>
    <row r="74" spans="4:6" x14ac:dyDescent="0.35">
      <c r="D74">
        <v>2040</v>
      </c>
      <c r="E74" s="96" t="e">
        <f t="shared" si="16"/>
        <v>#DIV/0!</v>
      </c>
      <c r="F74" s="97" t="e">
        <f t="shared" si="17"/>
        <v>#DIV/0!</v>
      </c>
    </row>
    <row r="75" spans="4:6" x14ac:dyDescent="0.35">
      <c r="D75">
        <v>2045</v>
      </c>
      <c r="E75" s="96" t="e">
        <f t="shared" si="16"/>
        <v>#DIV/0!</v>
      </c>
      <c r="F75" s="97" t="e">
        <f t="shared" si="17"/>
        <v>#DIV/0!</v>
      </c>
    </row>
    <row r="76" spans="4:6" x14ac:dyDescent="0.35">
      <c r="D76">
        <v>2050</v>
      </c>
      <c r="E76" s="96" t="e">
        <f t="shared" si="16"/>
        <v>#DIV/0!</v>
      </c>
      <c r="F76" s="97" t="e">
        <f t="shared" si="17"/>
        <v>#DIV/0!</v>
      </c>
    </row>
    <row r="84" spans="1:20" x14ac:dyDescent="0.35">
      <c r="J84" s="99"/>
      <c r="K84" s="100"/>
      <c r="L84" s="100"/>
      <c r="M84" s="100"/>
      <c r="N84" s="100"/>
      <c r="T84" s="98"/>
    </row>
    <row r="85" spans="1:20" x14ac:dyDescent="0.35">
      <c r="C85" t="s">
        <v>187</v>
      </c>
      <c r="D85" t="s">
        <v>214</v>
      </c>
      <c r="E85" t="s">
        <v>163</v>
      </c>
      <c r="F85" t="s">
        <v>166</v>
      </c>
      <c r="G85" t="s">
        <v>212</v>
      </c>
      <c r="H85" t="s">
        <v>211</v>
      </c>
      <c r="J85" s="99"/>
      <c r="K85" s="100"/>
      <c r="L85" s="100"/>
      <c r="M85" s="100"/>
      <c r="N85" s="100"/>
    </row>
    <row r="86" spans="1:20" x14ac:dyDescent="0.35">
      <c r="C86">
        <v>2025</v>
      </c>
      <c r="D86" s="115">
        <f>'Penalty Calculator'!$L$36</f>
        <v>0</v>
      </c>
      <c r="E86" s="119" t="e">
        <f>(((-E71)/($D$55*41000))*2400)*'Penalty Calculator'!$W$6</f>
        <v>#DIV/0!</v>
      </c>
      <c r="F86" s="119">
        <f>($D$99*0.7)*$D$98*'Penalty Calculator'!$W$6</f>
        <v>0</v>
      </c>
      <c r="G86" s="115" t="e">
        <f>SUM(E86:F86)</f>
        <v>#DIV/0!</v>
      </c>
      <c r="H86" s="99"/>
      <c r="J86" s="99"/>
      <c r="K86" s="100"/>
      <c r="L86" s="100"/>
      <c r="M86" s="100"/>
      <c r="N86" s="100"/>
    </row>
    <row r="87" spans="1:20" x14ac:dyDescent="0.35">
      <c r="C87">
        <v>2030</v>
      </c>
      <c r="D87" s="115">
        <f>'Penalty Calculator'!$L$36</f>
        <v>0</v>
      </c>
      <c r="E87" s="119" t="e">
        <f>(((-E72)/($D$55*41000))*2400)*'Penalty Calculator'!$W$6</f>
        <v>#DIV/0!</v>
      </c>
      <c r="F87" s="119">
        <f>($D$99*1)*$D$98*'Penalty Calculator'!$W$6*H87</f>
        <v>0</v>
      </c>
      <c r="G87" s="115" t="e">
        <f t="shared" ref="G87:G91" si="18">SUM(E87:F87)</f>
        <v>#DIV/0!</v>
      </c>
      <c r="H87" s="118">
        <v>1.25</v>
      </c>
      <c r="J87" s="99"/>
      <c r="K87" s="100"/>
      <c r="L87" s="100"/>
      <c r="M87" s="100"/>
      <c r="N87" s="100"/>
    </row>
    <row r="88" spans="1:20" x14ac:dyDescent="0.35">
      <c r="C88">
        <v>2035</v>
      </c>
      <c r="D88" s="115">
        <f>'Penalty Calculator'!$L$36</f>
        <v>0</v>
      </c>
      <c r="E88" s="119" t="e">
        <f>(((-E73)/($D$55*41000))*2400)*'Penalty Calculator'!$W$6</f>
        <v>#DIV/0!</v>
      </c>
      <c r="F88" s="119">
        <f>($D$99*1)*$D$98*'Penalty Calculator'!$W$6*H88</f>
        <v>0</v>
      </c>
      <c r="G88" s="115" t="e">
        <f t="shared" si="18"/>
        <v>#DIV/0!</v>
      </c>
      <c r="H88" s="118">
        <f>(H87+25%)</f>
        <v>1.5</v>
      </c>
      <c r="J88" s="99"/>
      <c r="K88" s="100"/>
      <c r="L88" s="100"/>
      <c r="M88" s="100"/>
      <c r="N88" s="100"/>
    </row>
    <row r="89" spans="1:20" x14ac:dyDescent="0.35">
      <c r="C89">
        <v>2040</v>
      </c>
      <c r="D89" s="115">
        <f>'Penalty Calculator'!$L$36</f>
        <v>0</v>
      </c>
      <c r="E89" s="119" t="e">
        <f>(((-E74)/($D$55*41000))*2400)*'Penalty Calculator'!$W$6</f>
        <v>#DIV/0!</v>
      </c>
      <c r="F89" s="119">
        <f>($D$99*1)*$D$98*'Penalty Calculator'!$W$6*H89</f>
        <v>0</v>
      </c>
      <c r="G89" s="115" t="e">
        <f t="shared" si="18"/>
        <v>#DIV/0!</v>
      </c>
      <c r="H89" s="118">
        <f t="shared" ref="H89:H91" si="19">(H88+25%)</f>
        <v>1.75</v>
      </c>
      <c r="J89" s="99"/>
      <c r="K89" s="100"/>
      <c r="L89" s="100"/>
      <c r="M89" s="100"/>
      <c r="N89" s="100"/>
    </row>
    <row r="90" spans="1:20" x14ac:dyDescent="0.35">
      <c r="C90">
        <v>2045</v>
      </c>
      <c r="D90" s="115">
        <f>'Penalty Calculator'!$L$36</f>
        <v>0</v>
      </c>
      <c r="E90" s="119" t="e">
        <f>(((-E75)/($D$55*41000))*2400)*'Penalty Calculator'!$W$6</f>
        <v>#DIV/0!</v>
      </c>
      <c r="F90" s="119">
        <f>($D$99*1)*$D$98*'Penalty Calculator'!$W$6*H90</f>
        <v>0</v>
      </c>
      <c r="G90" s="115" t="e">
        <f t="shared" si="18"/>
        <v>#DIV/0!</v>
      </c>
      <c r="H90" s="118">
        <f t="shared" si="19"/>
        <v>2</v>
      </c>
    </row>
    <row r="91" spans="1:20" x14ac:dyDescent="0.35">
      <c r="C91">
        <v>2050</v>
      </c>
      <c r="D91" s="115">
        <f>'Penalty Calculator'!$L$36</f>
        <v>0</v>
      </c>
      <c r="E91" s="119" t="e">
        <f>(((-E76)/($D$55*41000))*2400)*'Penalty Calculator'!$W$6</f>
        <v>#DIV/0!</v>
      </c>
      <c r="F91" s="119">
        <f>($D$99*1)*$D$98*'Penalty Calculator'!$W$6*H91</f>
        <v>0</v>
      </c>
      <c r="G91" s="115" t="e">
        <f t="shared" si="18"/>
        <v>#DIV/0!</v>
      </c>
      <c r="H91" s="118">
        <f t="shared" si="19"/>
        <v>2.25</v>
      </c>
    </row>
    <row r="93" spans="1:20" ht="26" x14ac:dyDescent="0.6">
      <c r="A93" s="413" t="s">
        <v>145</v>
      </c>
      <c r="B93" s="413"/>
      <c r="C93" s="413"/>
      <c r="D93" s="101"/>
      <c r="E93" s="101"/>
      <c r="F93" s="101"/>
      <c r="G93" s="101"/>
      <c r="H93" s="101"/>
      <c r="I93" s="101"/>
    </row>
    <row r="95" spans="1:20" x14ac:dyDescent="0.35">
      <c r="D95" s="228" t="s">
        <v>201</v>
      </c>
      <c r="E95" s="230" t="s">
        <v>366</v>
      </c>
      <c r="F95" s="8" t="s">
        <v>359</v>
      </c>
      <c r="G95" s="253" t="s">
        <v>360</v>
      </c>
    </row>
    <row r="96" spans="1:20" x14ac:dyDescent="0.35">
      <c r="B96" s="345" t="s">
        <v>168</v>
      </c>
      <c r="C96" s="345"/>
      <c r="D96" s="232">
        <f>(K33*K35)+(M33*M35)+(O33*O35)+(Q33*Q35)</f>
        <v>0</v>
      </c>
      <c r="E96" s="233">
        <f>(K33*K36)+(M33*M36)+(O33*O36)+(Q33*Q36)</f>
        <v>0</v>
      </c>
      <c r="F96" s="273">
        <f>W33*IF('Penalty Calculator'!L34=2025,W35,W36)</f>
        <v>8759.8654631365171</v>
      </c>
      <c r="G96" s="254" t="e">
        <f>(K33*IF('Penalty Calculator'!L34=2025,K35,K36))+(M33*IF('Penalty Calculator'!L34=2025,M35,M36))+(O33*IF('Penalty Calculator'!L34=2025,O35,O36))+(Q33*IF('Penalty Calculator'!L34=2025,Q35,Q36))+(AA33*IF('Penalty Calculator'!L34=2025,AA35,AA36))</f>
        <v>#DIV/0!</v>
      </c>
    </row>
    <row r="97" spans="2:14" x14ac:dyDescent="0.35">
      <c r="B97" s="345" t="s">
        <v>169</v>
      </c>
      <c r="C97" s="345"/>
      <c r="D97" s="228">
        <f>(K34*K35)+(M34*M35)+(O34*O35)+(Q34*Q35)</f>
        <v>0</v>
      </c>
      <c r="E97" s="230">
        <f>(K34*K36)+(M34*M36)+(O34*O36)+(Q34*Q36)</f>
        <v>0</v>
      </c>
      <c r="F97" s="229"/>
      <c r="G97" s="254">
        <f>(K34*IF('Penalty Calculator'!L34=2025,K35,K36))+(M34*IF('Penalty Calculator'!L34=2025,M35,M36))+(O34*IF('Penalty Calculator'!L34=2025,O35,O36))+(Q34*IF('Penalty Calculator'!L34=2025,Q35,Q36))+(AA34*IF('Penalty Calculator'!L34=2025,AA35,AA36))</f>
        <v>0</v>
      </c>
    </row>
    <row r="98" spans="2:14" x14ac:dyDescent="0.35">
      <c r="B98" s="345" t="s">
        <v>170</v>
      </c>
      <c r="C98" s="345"/>
      <c r="D98" s="228">
        <f>D96+D97</f>
        <v>0</v>
      </c>
      <c r="E98" s="230">
        <f>E96+E97</f>
        <v>0</v>
      </c>
      <c r="F98" s="229">
        <f>F96+F97</f>
        <v>8759.8654631365171</v>
      </c>
      <c r="G98" s="254" t="e">
        <f>G96+G97</f>
        <v>#DIV/0!</v>
      </c>
    </row>
    <row r="99" spans="2:14" x14ac:dyDescent="0.35">
      <c r="B99" s="345" t="s">
        <v>152</v>
      </c>
      <c r="C99" s="345"/>
      <c r="D99" s="228">
        <f>'Penalty Calculator'!O6</f>
        <v>70</v>
      </c>
      <c r="E99" s="230">
        <f>'Penalty Calculator'!O6</f>
        <v>70</v>
      </c>
      <c r="F99" s="229">
        <f>'Penalty Calculator'!O6</f>
        <v>70</v>
      </c>
      <c r="G99" s="255">
        <f>'Penalty Calculator'!O6</f>
        <v>70</v>
      </c>
    </row>
    <row r="100" spans="2:14" x14ac:dyDescent="0.35">
      <c r="B100" s="412" t="s">
        <v>340</v>
      </c>
      <c r="C100" s="412"/>
      <c r="D100" s="251">
        <f>(D98*0.7)*D99</f>
        <v>0</v>
      </c>
      <c r="E100" s="252">
        <f>(E98*1)*E99</f>
        <v>0</v>
      </c>
      <c r="F100" s="252">
        <f>IF('Penalty Calculator'!L34=2025,(F98*0.7)*F99,(F98*1)*F99)</f>
        <v>429233.40769368934</v>
      </c>
      <c r="G100" s="252" t="e">
        <f>IF('Penalty Calculator'!L34=2025,(G98*0.7)*G99,(G98*1)*G99)</f>
        <v>#DIV/0!</v>
      </c>
    </row>
    <row r="101" spans="2:14" x14ac:dyDescent="0.35">
      <c r="B101" s="345"/>
      <c r="C101" s="345"/>
      <c r="D101" s="199"/>
      <c r="E101" s="94"/>
    </row>
    <row r="102" spans="2:14" x14ac:dyDescent="0.35">
      <c r="C102" s="411" t="s">
        <v>293</v>
      </c>
      <c r="D102" s="411"/>
      <c r="E102" s="94" t="s">
        <v>313</v>
      </c>
    </row>
    <row r="104" spans="2:14" x14ac:dyDescent="0.35">
      <c r="B104" t="s">
        <v>424</v>
      </c>
      <c r="C104">
        <f>D98*0.4</f>
        <v>0</v>
      </c>
      <c r="D104">
        <f>(D98*0.7)</f>
        <v>0</v>
      </c>
      <c r="E104">
        <f>(E98*1)</f>
        <v>0</v>
      </c>
    </row>
    <row r="105" spans="2:14" x14ac:dyDescent="0.35">
      <c r="C105">
        <f>C104*$D$99</f>
        <v>0</v>
      </c>
      <c r="D105">
        <f>D104*$D$99</f>
        <v>0</v>
      </c>
    </row>
    <row r="106" spans="2:14" ht="15" thickBot="1" x14ac:dyDescent="0.4">
      <c r="C106">
        <f>C105*'Penalty Calculator'!$W$6</f>
        <v>0</v>
      </c>
      <c r="D106">
        <f>D105*'Penalty Calculator'!$W$6</f>
        <v>0</v>
      </c>
    </row>
    <row r="107" spans="2:14" ht="15" thickBot="1" x14ac:dyDescent="0.4">
      <c r="C107" s="189" t="s">
        <v>304</v>
      </c>
      <c r="D107" s="189" t="s">
        <v>305</v>
      </c>
      <c r="E107" s="189" t="s">
        <v>307</v>
      </c>
      <c r="F107" s="189" t="s">
        <v>306</v>
      </c>
      <c r="G107" s="189" t="s">
        <v>307</v>
      </c>
      <c r="H107" s="189" t="s">
        <v>344</v>
      </c>
      <c r="I107" s="189"/>
      <c r="J107" s="322" t="s">
        <v>170</v>
      </c>
      <c r="K107" s="189" t="s">
        <v>425</v>
      </c>
      <c r="L107" s="189" t="s">
        <v>426</v>
      </c>
      <c r="M107" s="7" t="s">
        <v>428</v>
      </c>
      <c r="N107" s="7" t="s">
        <v>427</v>
      </c>
    </row>
    <row r="108" spans="2:14" x14ac:dyDescent="0.35">
      <c r="C108" s="188">
        <v>2025</v>
      </c>
      <c r="D108" s="190" t="e">
        <f>F71</f>
        <v>#DIV/0!</v>
      </c>
      <c r="E108" s="192" t="e">
        <f>E86</f>
        <v>#DIV/0!</v>
      </c>
      <c r="F108" s="188">
        <v>1</v>
      </c>
      <c r="G108" s="194" t="e">
        <f>E108*F108</f>
        <v>#DIV/0!</v>
      </c>
      <c r="H108" s="188">
        <f>$D$57</f>
        <v>89.336799999999997</v>
      </c>
      <c r="I108" s="323"/>
      <c r="J108" s="10">
        <f>D98*0.7</f>
        <v>0</v>
      </c>
      <c r="K108" s="323">
        <v>75</v>
      </c>
      <c r="L108" s="325">
        <v>0.05</v>
      </c>
      <c r="M108" s="199">
        <f>K108+(K108*L108)</f>
        <v>78.75</v>
      </c>
      <c r="N108" s="199">
        <f>J108*M108</f>
        <v>0</v>
      </c>
    </row>
    <row r="109" spans="2:14" x14ac:dyDescent="0.35">
      <c r="C109" s="10">
        <v>2026</v>
      </c>
      <c r="D109" s="191" t="e">
        <f>F71</f>
        <v>#DIV/0!</v>
      </c>
      <c r="E109" s="193" t="e">
        <f>E86</f>
        <v>#DIV/0!</v>
      </c>
      <c r="F109" s="191" t="e">
        <f>IF(OR(D109&gt;0,D108&gt;0),"1",F108+0.1)</f>
        <v>#DIV/0!</v>
      </c>
      <c r="G109" s="194" t="e">
        <f t="shared" ref="G109:G133" si="20">E109*F109</f>
        <v>#DIV/0!</v>
      </c>
      <c r="H109" s="10">
        <f t="shared" ref="H109:H112" si="21">$D$57</f>
        <v>89.336799999999997</v>
      </c>
      <c r="I109" s="324"/>
      <c r="J109" s="10">
        <f>$E$98</f>
        <v>0</v>
      </c>
      <c r="K109" s="323">
        <f>M108</f>
        <v>78.75</v>
      </c>
      <c r="L109" s="325">
        <v>0.05</v>
      </c>
      <c r="M109" s="199">
        <f t="shared" ref="M109:M133" si="22">K109+(K109*L109)</f>
        <v>82.6875</v>
      </c>
      <c r="N109" s="199">
        <f t="shared" ref="N109:N133" si="23">J109*M109</f>
        <v>0</v>
      </c>
    </row>
    <row r="110" spans="2:14" x14ac:dyDescent="0.35">
      <c r="C110" s="10">
        <v>2027</v>
      </c>
      <c r="D110" s="191" t="e">
        <f>F71</f>
        <v>#DIV/0!</v>
      </c>
      <c r="E110" s="193" t="e">
        <f>E86</f>
        <v>#DIV/0!</v>
      </c>
      <c r="F110" s="191" t="e">
        <f t="shared" ref="F110:F133" si="24">IF(OR(D110&gt;0,D109&gt;0),"1",F109+0.1)</f>
        <v>#DIV/0!</v>
      </c>
      <c r="G110" s="194" t="e">
        <f t="shared" si="20"/>
        <v>#DIV/0!</v>
      </c>
      <c r="H110" s="10">
        <f t="shared" si="21"/>
        <v>89.336799999999997</v>
      </c>
      <c r="I110" s="324"/>
      <c r="J110" s="10">
        <f t="shared" ref="J110:J133" si="25">$E$98</f>
        <v>0</v>
      </c>
      <c r="K110" s="323">
        <f t="shared" ref="K110:K133" si="26">M109</f>
        <v>82.6875</v>
      </c>
      <c r="L110" s="325">
        <v>0.05</v>
      </c>
      <c r="M110" s="199">
        <f t="shared" si="22"/>
        <v>86.821875000000006</v>
      </c>
      <c r="N110" s="199">
        <f t="shared" si="23"/>
        <v>0</v>
      </c>
    </row>
    <row r="111" spans="2:14" x14ac:dyDescent="0.35">
      <c r="C111" s="10">
        <v>2028</v>
      </c>
      <c r="D111" s="191" t="e">
        <f>F71</f>
        <v>#DIV/0!</v>
      </c>
      <c r="E111" s="193" t="e">
        <f>E86</f>
        <v>#DIV/0!</v>
      </c>
      <c r="F111" s="191" t="e">
        <f t="shared" si="24"/>
        <v>#DIV/0!</v>
      </c>
      <c r="G111" s="194" t="e">
        <f t="shared" si="20"/>
        <v>#DIV/0!</v>
      </c>
      <c r="H111" s="10">
        <f t="shared" si="21"/>
        <v>89.336799999999997</v>
      </c>
      <c r="I111" s="324"/>
      <c r="J111" s="10">
        <f t="shared" si="25"/>
        <v>0</v>
      </c>
      <c r="K111" s="323">
        <f t="shared" si="26"/>
        <v>86.821875000000006</v>
      </c>
      <c r="L111" s="325">
        <v>0.05</v>
      </c>
      <c r="M111" s="199">
        <f t="shared" si="22"/>
        <v>91.162968750000005</v>
      </c>
      <c r="N111" s="199">
        <f t="shared" si="23"/>
        <v>0</v>
      </c>
    </row>
    <row r="112" spans="2:14" x14ac:dyDescent="0.35">
      <c r="C112" s="10">
        <v>2029</v>
      </c>
      <c r="D112" s="191" t="e">
        <f>F71</f>
        <v>#DIV/0!</v>
      </c>
      <c r="E112" s="193" t="e">
        <f>E86</f>
        <v>#DIV/0!</v>
      </c>
      <c r="F112" s="191" t="e">
        <f t="shared" si="24"/>
        <v>#DIV/0!</v>
      </c>
      <c r="G112" s="194" t="e">
        <f t="shared" si="20"/>
        <v>#DIV/0!</v>
      </c>
      <c r="H112" s="10">
        <f t="shared" si="21"/>
        <v>89.336799999999997</v>
      </c>
      <c r="I112" s="324"/>
      <c r="J112" s="10">
        <f t="shared" si="25"/>
        <v>0</v>
      </c>
      <c r="K112" s="323">
        <f t="shared" si="26"/>
        <v>91.162968750000005</v>
      </c>
      <c r="L112" s="325">
        <v>0.05</v>
      </c>
      <c r="M112" s="199">
        <f t="shared" si="22"/>
        <v>95.721117187499999</v>
      </c>
      <c r="N112" s="199">
        <f t="shared" si="23"/>
        <v>0</v>
      </c>
    </row>
    <row r="113" spans="3:14" x14ac:dyDescent="0.35">
      <c r="C113" s="10">
        <v>2030</v>
      </c>
      <c r="D113" s="191" t="e">
        <f>F72</f>
        <v>#DIV/0!</v>
      </c>
      <c r="E113" s="193" t="e">
        <f>E87</f>
        <v>#DIV/0!</v>
      </c>
      <c r="F113" s="191" t="e">
        <f t="shared" si="24"/>
        <v>#DIV/0!</v>
      </c>
      <c r="G113" s="194" t="e">
        <f t="shared" si="20"/>
        <v>#DIV/0!</v>
      </c>
      <c r="H113" s="10">
        <f>$D$58</f>
        <v>85.690399999999997</v>
      </c>
      <c r="I113" s="324"/>
      <c r="J113" s="10">
        <f t="shared" si="25"/>
        <v>0</v>
      </c>
      <c r="K113" s="323">
        <f t="shared" si="26"/>
        <v>95.721117187499999</v>
      </c>
      <c r="L113" s="325">
        <v>0.05</v>
      </c>
      <c r="M113" s="199">
        <f t="shared" si="22"/>
        <v>100.507173046875</v>
      </c>
      <c r="N113" s="199">
        <f t="shared" si="23"/>
        <v>0</v>
      </c>
    </row>
    <row r="114" spans="3:14" x14ac:dyDescent="0.35">
      <c r="C114" s="10">
        <v>2031</v>
      </c>
      <c r="D114" s="191" t="e">
        <f>F72</f>
        <v>#DIV/0!</v>
      </c>
      <c r="E114" s="193" t="e">
        <f>E87</f>
        <v>#DIV/0!</v>
      </c>
      <c r="F114" s="191" t="e">
        <f t="shared" si="24"/>
        <v>#DIV/0!</v>
      </c>
      <c r="G114" s="194" t="e">
        <f t="shared" si="20"/>
        <v>#DIV/0!</v>
      </c>
      <c r="H114" s="10">
        <f t="shared" ref="H114:H117" si="27">$D$58</f>
        <v>85.690399999999997</v>
      </c>
      <c r="I114" s="324"/>
      <c r="J114" s="10">
        <f t="shared" si="25"/>
        <v>0</v>
      </c>
      <c r="K114" s="323">
        <f t="shared" si="26"/>
        <v>100.507173046875</v>
      </c>
      <c r="L114" s="325">
        <v>0.05</v>
      </c>
      <c r="M114" s="199">
        <f t="shared" si="22"/>
        <v>105.53253169921875</v>
      </c>
      <c r="N114" s="199">
        <f t="shared" si="23"/>
        <v>0</v>
      </c>
    </row>
    <row r="115" spans="3:14" x14ac:dyDescent="0.35">
      <c r="C115" s="10">
        <v>2032</v>
      </c>
      <c r="D115" s="191" t="e">
        <f>F72</f>
        <v>#DIV/0!</v>
      </c>
      <c r="E115" s="193" t="e">
        <f>E87</f>
        <v>#DIV/0!</v>
      </c>
      <c r="F115" s="191" t="e">
        <f t="shared" si="24"/>
        <v>#DIV/0!</v>
      </c>
      <c r="G115" s="194" t="e">
        <f t="shared" si="20"/>
        <v>#DIV/0!</v>
      </c>
      <c r="H115" s="10">
        <f t="shared" si="27"/>
        <v>85.690399999999997</v>
      </c>
      <c r="I115" s="324"/>
      <c r="J115" s="10">
        <f t="shared" si="25"/>
        <v>0</v>
      </c>
      <c r="K115" s="323">
        <f t="shared" si="26"/>
        <v>105.53253169921875</v>
      </c>
      <c r="L115" s="325">
        <v>0.05</v>
      </c>
      <c r="M115" s="199">
        <f t="shared" si="22"/>
        <v>110.80915828417969</v>
      </c>
      <c r="N115" s="199">
        <f t="shared" si="23"/>
        <v>0</v>
      </c>
    </row>
    <row r="116" spans="3:14" x14ac:dyDescent="0.35">
      <c r="C116" s="10">
        <v>2033</v>
      </c>
      <c r="D116" s="191" t="e">
        <f>F72</f>
        <v>#DIV/0!</v>
      </c>
      <c r="E116" s="193" t="e">
        <f>E87</f>
        <v>#DIV/0!</v>
      </c>
      <c r="F116" s="191" t="e">
        <f t="shared" si="24"/>
        <v>#DIV/0!</v>
      </c>
      <c r="G116" s="194" t="e">
        <f t="shared" si="20"/>
        <v>#DIV/0!</v>
      </c>
      <c r="H116" s="10">
        <f t="shared" si="27"/>
        <v>85.690399999999997</v>
      </c>
      <c r="I116" s="324"/>
      <c r="J116" s="10">
        <f t="shared" si="25"/>
        <v>0</v>
      </c>
      <c r="K116" s="323">
        <f t="shared" si="26"/>
        <v>110.80915828417969</v>
      </c>
      <c r="L116" s="325">
        <v>0.05</v>
      </c>
      <c r="M116" s="199">
        <f t="shared" si="22"/>
        <v>116.34961619838867</v>
      </c>
      <c r="N116" s="199">
        <f t="shared" si="23"/>
        <v>0</v>
      </c>
    </row>
    <row r="117" spans="3:14" x14ac:dyDescent="0.35">
      <c r="C117" s="10">
        <v>2034</v>
      </c>
      <c r="D117" s="191" t="e">
        <f>F72</f>
        <v>#DIV/0!</v>
      </c>
      <c r="E117" s="193" t="e">
        <f>E87</f>
        <v>#DIV/0!</v>
      </c>
      <c r="F117" s="191" t="e">
        <f t="shared" si="24"/>
        <v>#DIV/0!</v>
      </c>
      <c r="G117" s="194" t="e">
        <f t="shared" si="20"/>
        <v>#DIV/0!</v>
      </c>
      <c r="H117" s="10">
        <f t="shared" si="27"/>
        <v>85.690399999999997</v>
      </c>
      <c r="I117" s="324"/>
      <c r="J117" s="10">
        <f t="shared" si="25"/>
        <v>0</v>
      </c>
      <c r="K117" s="323">
        <f t="shared" si="26"/>
        <v>116.34961619838867</v>
      </c>
      <c r="L117" s="325">
        <v>0.05</v>
      </c>
      <c r="M117" s="199">
        <f t="shared" si="22"/>
        <v>122.1670970083081</v>
      </c>
      <c r="N117" s="199">
        <f t="shared" si="23"/>
        <v>0</v>
      </c>
    </row>
    <row r="118" spans="3:14" x14ac:dyDescent="0.35">
      <c r="C118" s="10">
        <v>2035</v>
      </c>
      <c r="D118" s="191" t="e">
        <f>F73</f>
        <v>#DIV/0!</v>
      </c>
      <c r="E118" s="193" t="e">
        <f>E88</f>
        <v>#DIV/0!</v>
      </c>
      <c r="F118" s="191" t="e">
        <f t="shared" si="24"/>
        <v>#DIV/0!</v>
      </c>
      <c r="G118" s="194" t="e">
        <f t="shared" si="20"/>
        <v>#DIV/0!</v>
      </c>
      <c r="H118" s="10">
        <f>$D$59</f>
        <v>77.941800000000001</v>
      </c>
      <c r="I118" s="324"/>
      <c r="J118" s="10">
        <f t="shared" si="25"/>
        <v>0</v>
      </c>
      <c r="K118" s="323">
        <f t="shared" si="26"/>
        <v>122.1670970083081</v>
      </c>
      <c r="L118" s="325">
        <v>0.05</v>
      </c>
      <c r="M118" s="199">
        <f t="shared" si="22"/>
        <v>128.2754518587235</v>
      </c>
      <c r="N118" s="199">
        <f t="shared" si="23"/>
        <v>0</v>
      </c>
    </row>
    <row r="119" spans="3:14" x14ac:dyDescent="0.35">
      <c r="C119" s="10">
        <v>2036</v>
      </c>
      <c r="D119" s="191" t="e">
        <f>F73</f>
        <v>#DIV/0!</v>
      </c>
      <c r="E119" s="193" t="e">
        <f>E88</f>
        <v>#DIV/0!</v>
      </c>
      <c r="F119" s="191" t="e">
        <f t="shared" si="24"/>
        <v>#DIV/0!</v>
      </c>
      <c r="G119" s="194" t="e">
        <f t="shared" si="20"/>
        <v>#DIV/0!</v>
      </c>
      <c r="H119" s="10">
        <f t="shared" ref="H119:H122" si="28">$D$59</f>
        <v>77.941800000000001</v>
      </c>
      <c r="I119" s="324"/>
      <c r="J119" s="10">
        <f t="shared" si="25"/>
        <v>0</v>
      </c>
      <c r="K119" s="323">
        <f t="shared" si="26"/>
        <v>128.2754518587235</v>
      </c>
      <c r="L119" s="325">
        <v>0.05</v>
      </c>
      <c r="M119" s="199">
        <f t="shared" si="22"/>
        <v>134.68922445165967</v>
      </c>
      <c r="N119" s="199">
        <f t="shared" si="23"/>
        <v>0</v>
      </c>
    </row>
    <row r="120" spans="3:14" x14ac:dyDescent="0.35">
      <c r="C120" s="10">
        <v>2037</v>
      </c>
      <c r="D120" s="191" t="e">
        <f>F73</f>
        <v>#DIV/0!</v>
      </c>
      <c r="E120" s="193" t="e">
        <f>E88</f>
        <v>#DIV/0!</v>
      </c>
      <c r="F120" s="191" t="e">
        <f t="shared" si="24"/>
        <v>#DIV/0!</v>
      </c>
      <c r="G120" s="194" t="e">
        <f t="shared" si="20"/>
        <v>#DIV/0!</v>
      </c>
      <c r="H120" s="10">
        <f t="shared" si="28"/>
        <v>77.941800000000001</v>
      </c>
      <c r="I120" s="324"/>
      <c r="J120" s="10">
        <f t="shared" si="25"/>
        <v>0</v>
      </c>
      <c r="K120" s="323">
        <f t="shared" si="26"/>
        <v>134.68922445165967</v>
      </c>
      <c r="L120" s="325">
        <v>0.05</v>
      </c>
      <c r="M120" s="199">
        <f t="shared" si="22"/>
        <v>141.42368567424265</v>
      </c>
      <c r="N120" s="199">
        <f t="shared" si="23"/>
        <v>0</v>
      </c>
    </row>
    <row r="121" spans="3:14" x14ac:dyDescent="0.35">
      <c r="C121" s="10">
        <v>2038</v>
      </c>
      <c r="D121" s="191" t="e">
        <f>F73</f>
        <v>#DIV/0!</v>
      </c>
      <c r="E121" s="193" t="e">
        <f>E88</f>
        <v>#DIV/0!</v>
      </c>
      <c r="F121" s="191" t="e">
        <f t="shared" si="24"/>
        <v>#DIV/0!</v>
      </c>
      <c r="G121" s="194" t="e">
        <f t="shared" si="20"/>
        <v>#DIV/0!</v>
      </c>
      <c r="H121" s="10">
        <f t="shared" si="28"/>
        <v>77.941800000000001</v>
      </c>
      <c r="I121" s="324"/>
      <c r="J121" s="10">
        <f t="shared" si="25"/>
        <v>0</v>
      </c>
      <c r="K121" s="323">
        <f t="shared" si="26"/>
        <v>141.42368567424265</v>
      </c>
      <c r="L121" s="325">
        <v>0.05</v>
      </c>
      <c r="M121" s="199">
        <f t="shared" si="22"/>
        <v>148.49486995795479</v>
      </c>
      <c r="N121" s="199">
        <f t="shared" si="23"/>
        <v>0</v>
      </c>
    </row>
    <row r="122" spans="3:14" x14ac:dyDescent="0.35">
      <c r="C122" s="10">
        <v>2039</v>
      </c>
      <c r="D122" s="191" t="e">
        <f>F73</f>
        <v>#DIV/0!</v>
      </c>
      <c r="E122" s="193" t="e">
        <f>E88</f>
        <v>#DIV/0!</v>
      </c>
      <c r="F122" s="191" t="e">
        <f t="shared" si="24"/>
        <v>#DIV/0!</v>
      </c>
      <c r="G122" s="194" t="e">
        <f t="shared" si="20"/>
        <v>#DIV/0!</v>
      </c>
      <c r="H122" s="10">
        <f t="shared" si="28"/>
        <v>77.941800000000001</v>
      </c>
      <c r="I122" s="324"/>
      <c r="J122" s="10">
        <f t="shared" si="25"/>
        <v>0</v>
      </c>
      <c r="K122" s="323">
        <f t="shared" si="26"/>
        <v>148.49486995795479</v>
      </c>
      <c r="L122" s="325">
        <v>0.05</v>
      </c>
      <c r="M122" s="199">
        <f t="shared" si="22"/>
        <v>155.91961345585253</v>
      </c>
      <c r="N122" s="199">
        <f t="shared" si="23"/>
        <v>0</v>
      </c>
    </row>
    <row r="123" spans="3:14" x14ac:dyDescent="0.35">
      <c r="C123" s="10">
        <v>2040</v>
      </c>
      <c r="D123" s="191" t="e">
        <f>F74</f>
        <v>#DIV/0!</v>
      </c>
      <c r="E123" s="193" t="e">
        <f>E89</f>
        <v>#DIV/0!</v>
      </c>
      <c r="F123" s="191" t="e">
        <f t="shared" si="24"/>
        <v>#DIV/0!</v>
      </c>
      <c r="G123" s="194" t="e">
        <f t="shared" si="20"/>
        <v>#DIV/0!</v>
      </c>
      <c r="H123" s="10">
        <f>$D$60</f>
        <v>62.900399999999991</v>
      </c>
      <c r="I123" s="324"/>
      <c r="J123" s="10">
        <f t="shared" si="25"/>
        <v>0</v>
      </c>
      <c r="K123" s="323">
        <f t="shared" si="26"/>
        <v>155.91961345585253</v>
      </c>
      <c r="L123" s="325">
        <v>0.05</v>
      </c>
      <c r="M123" s="199">
        <f t="shared" si="22"/>
        <v>163.71559412864517</v>
      </c>
      <c r="N123" s="199">
        <f t="shared" si="23"/>
        <v>0</v>
      </c>
    </row>
    <row r="124" spans="3:14" x14ac:dyDescent="0.35">
      <c r="C124" s="10">
        <v>2041</v>
      </c>
      <c r="D124" s="191" t="e">
        <f>F74</f>
        <v>#DIV/0!</v>
      </c>
      <c r="E124" s="193" t="e">
        <f>E89</f>
        <v>#DIV/0!</v>
      </c>
      <c r="F124" s="191" t="e">
        <f t="shared" si="24"/>
        <v>#DIV/0!</v>
      </c>
      <c r="G124" s="194" t="e">
        <f t="shared" si="20"/>
        <v>#DIV/0!</v>
      </c>
      <c r="H124" s="10">
        <f t="shared" ref="H124:H127" si="29">$D$60</f>
        <v>62.900399999999991</v>
      </c>
      <c r="I124" s="324"/>
      <c r="J124" s="10">
        <f t="shared" si="25"/>
        <v>0</v>
      </c>
      <c r="K124" s="323">
        <f t="shared" si="26"/>
        <v>163.71559412864517</v>
      </c>
      <c r="L124" s="325">
        <v>0.05</v>
      </c>
      <c r="M124" s="199">
        <f t="shared" si="22"/>
        <v>171.90137383507744</v>
      </c>
      <c r="N124" s="199">
        <f t="shared" si="23"/>
        <v>0</v>
      </c>
    </row>
    <row r="125" spans="3:14" x14ac:dyDescent="0.35">
      <c r="C125" s="10">
        <v>2042</v>
      </c>
      <c r="D125" s="191" t="e">
        <f>F74</f>
        <v>#DIV/0!</v>
      </c>
      <c r="E125" s="193" t="e">
        <f>E89</f>
        <v>#DIV/0!</v>
      </c>
      <c r="F125" s="191" t="e">
        <f t="shared" si="24"/>
        <v>#DIV/0!</v>
      </c>
      <c r="G125" s="194" t="e">
        <f t="shared" si="20"/>
        <v>#DIV/0!</v>
      </c>
      <c r="H125" s="10">
        <f t="shared" si="29"/>
        <v>62.900399999999991</v>
      </c>
      <c r="I125" s="324"/>
      <c r="J125" s="10">
        <f t="shared" si="25"/>
        <v>0</v>
      </c>
      <c r="K125" s="323">
        <f t="shared" si="26"/>
        <v>171.90137383507744</v>
      </c>
      <c r="L125" s="325">
        <v>0.05</v>
      </c>
      <c r="M125" s="199">
        <f t="shared" si="22"/>
        <v>180.49644252683132</v>
      </c>
      <c r="N125" s="199">
        <f t="shared" si="23"/>
        <v>0</v>
      </c>
    </row>
    <row r="126" spans="3:14" x14ac:dyDescent="0.35">
      <c r="C126" s="10">
        <v>2043</v>
      </c>
      <c r="D126" s="191" t="e">
        <f>F74</f>
        <v>#DIV/0!</v>
      </c>
      <c r="E126" s="193" t="e">
        <f>E89</f>
        <v>#DIV/0!</v>
      </c>
      <c r="F126" s="191" t="e">
        <f t="shared" si="24"/>
        <v>#DIV/0!</v>
      </c>
      <c r="G126" s="194" t="e">
        <f t="shared" si="20"/>
        <v>#DIV/0!</v>
      </c>
      <c r="H126" s="10">
        <f t="shared" si="29"/>
        <v>62.900399999999991</v>
      </c>
      <c r="I126" s="324"/>
      <c r="J126" s="10">
        <f t="shared" si="25"/>
        <v>0</v>
      </c>
      <c r="K126" s="323">
        <f t="shared" si="26"/>
        <v>180.49644252683132</v>
      </c>
      <c r="L126" s="325">
        <v>0.05</v>
      </c>
      <c r="M126" s="199">
        <f t="shared" si="22"/>
        <v>189.52126465317289</v>
      </c>
      <c r="N126" s="199">
        <f t="shared" si="23"/>
        <v>0</v>
      </c>
    </row>
    <row r="127" spans="3:14" x14ac:dyDescent="0.35">
      <c r="C127" s="10">
        <v>2044</v>
      </c>
      <c r="D127" s="191" t="e">
        <f>F74</f>
        <v>#DIV/0!</v>
      </c>
      <c r="E127" s="193" t="e">
        <f>E89</f>
        <v>#DIV/0!</v>
      </c>
      <c r="F127" s="191" t="e">
        <f t="shared" si="24"/>
        <v>#DIV/0!</v>
      </c>
      <c r="G127" s="194" t="e">
        <f t="shared" si="20"/>
        <v>#DIV/0!</v>
      </c>
      <c r="H127" s="10">
        <f t="shared" si="29"/>
        <v>62.900399999999991</v>
      </c>
      <c r="I127" s="324"/>
      <c r="J127" s="10">
        <f t="shared" si="25"/>
        <v>0</v>
      </c>
      <c r="K127" s="323">
        <f t="shared" si="26"/>
        <v>189.52126465317289</v>
      </c>
      <c r="L127" s="325">
        <v>0.05</v>
      </c>
      <c r="M127" s="199">
        <f t="shared" si="22"/>
        <v>198.99732788583154</v>
      </c>
      <c r="N127" s="199">
        <f t="shared" si="23"/>
        <v>0</v>
      </c>
    </row>
    <row r="128" spans="3:14" x14ac:dyDescent="0.35">
      <c r="C128" s="10">
        <v>2045</v>
      </c>
      <c r="D128" s="191" t="e">
        <f>F75</f>
        <v>#DIV/0!</v>
      </c>
      <c r="E128" s="193" t="e">
        <f>E90</f>
        <v>#DIV/0!</v>
      </c>
      <c r="F128" s="191" t="e">
        <f t="shared" si="24"/>
        <v>#DIV/0!</v>
      </c>
      <c r="G128" s="194" t="e">
        <f t="shared" si="20"/>
        <v>#DIV/0!</v>
      </c>
      <c r="H128" s="10">
        <f>$D$61</f>
        <v>34.640799999999999</v>
      </c>
      <c r="I128" s="324"/>
      <c r="J128" s="10">
        <f t="shared" si="25"/>
        <v>0</v>
      </c>
      <c r="K128" s="323">
        <f t="shared" si="26"/>
        <v>198.99732788583154</v>
      </c>
      <c r="L128" s="325">
        <v>0.05</v>
      </c>
      <c r="M128" s="199">
        <f t="shared" si="22"/>
        <v>208.94719428012311</v>
      </c>
      <c r="N128" s="199">
        <f t="shared" si="23"/>
        <v>0</v>
      </c>
    </row>
    <row r="129" spans="3:14" x14ac:dyDescent="0.35">
      <c r="C129" s="10">
        <v>2046</v>
      </c>
      <c r="D129" s="191" t="e">
        <f>F75</f>
        <v>#DIV/0!</v>
      </c>
      <c r="E129" s="193" t="e">
        <f>E90</f>
        <v>#DIV/0!</v>
      </c>
      <c r="F129" s="191" t="e">
        <f t="shared" si="24"/>
        <v>#DIV/0!</v>
      </c>
      <c r="G129" s="194" t="e">
        <f t="shared" si="20"/>
        <v>#DIV/0!</v>
      </c>
      <c r="H129" s="10">
        <f t="shared" ref="H129:H132" si="30">$D$61</f>
        <v>34.640799999999999</v>
      </c>
      <c r="I129" s="324"/>
      <c r="J129" s="10">
        <f t="shared" si="25"/>
        <v>0</v>
      </c>
      <c r="K129" s="323">
        <f t="shared" si="26"/>
        <v>208.94719428012311</v>
      </c>
      <c r="L129" s="325">
        <v>0.05</v>
      </c>
      <c r="M129" s="199">
        <f t="shared" si="22"/>
        <v>219.39455399412927</v>
      </c>
      <c r="N129" s="199">
        <f t="shared" si="23"/>
        <v>0</v>
      </c>
    </row>
    <row r="130" spans="3:14" x14ac:dyDescent="0.35">
      <c r="C130" s="10">
        <v>2047</v>
      </c>
      <c r="D130" s="191" t="e">
        <f>F75</f>
        <v>#DIV/0!</v>
      </c>
      <c r="E130" s="193" t="e">
        <f>E90</f>
        <v>#DIV/0!</v>
      </c>
      <c r="F130" s="191" t="e">
        <f t="shared" si="24"/>
        <v>#DIV/0!</v>
      </c>
      <c r="G130" s="194" t="e">
        <f t="shared" si="20"/>
        <v>#DIV/0!</v>
      </c>
      <c r="H130" s="10">
        <f t="shared" si="30"/>
        <v>34.640799999999999</v>
      </c>
      <c r="I130" s="324"/>
      <c r="J130" s="10">
        <f t="shared" si="25"/>
        <v>0</v>
      </c>
      <c r="K130" s="323">
        <f t="shared" si="26"/>
        <v>219.39455399412927</v>
      </c>
      <c r="L130" s="325">
        <v>0.05</v>
      </c>
      <c r="M130" s="199">
        <f t="shared" si="22"/>
        <v>230.36428169383572</v>
      </c>
      <c r="N130" s="199">
        <f t="shared" si="23"/>
        <v>0</v>
      </c>
    </row>
    <row r="131" spans="3:14" x14ac:dyDescent="0.35">
      <c r="C131" s="10">
        <v>2048</v>
      </c>
      <c r="D131" s="191" t="e">
        <f>F75</f>
        <v>#DIV/0!</v>
      </c>
      <c r="E131" s="193" t="e">
        <f>E90</f>
        <v>#DIV/0!</v>
      </c>
      <c r="F131" s="191" t="e">
        <f t="shared" si="24"/>
        <v>#DIV/0!</v>
      </c>
      <c r="G131" s="194" t="e">
        <f t="shared" si="20"/>
        <v>#DIV/0!</v>
      </c>
      <c r="H131" s="10">
        <f t="shared" si="30"/>
        <v>34.640799999999999</v>
      </c>
      <c r="I131" s="324"/>
      <c r="J131" s="10">
        <f t="shared" si="25"/>
        <v>0</v>
      </c>
      <c r="K131" s="323">
        <f t="shared" si="26"/>
        <v>230.36428169383572</v>
      </c>
      <c r="L131" s="325">
        <v>0.05</v>
      </c>
      <c r="M131" s="199">
        <f t="shared" si="22"/>
        <v>241.8824957785275</v>
      </c>
      <c r="N131" s="199">
        <f t="shared" si="23"/>
        <v>0</v>
      </c>
    </row>
    <row r="132" spans="3:14" x14ac:dyDescent="0.35">
      <c r="C132" s="10">
        <v>2049</v>
      </c>
      <c r="D132" s="191" t="e">
        <f>F75</f>
        <v>#DIV/0!</v>
      </c>
      <c r="E132" s="193" t="e">
        <f>E90</f>
        <v>#DIV/0!</v>
      </c>
      <c r="F132" s="191" t="e">
        <f t="shared" si="24"/>
        <v>#DIV/0!</v>
      </c>
      <c r="G132" s="194" t="e">
        <f t="shared" si="20"/>
        <v>#DIV/0!</v>
      </c>
      <c r="H132" s="10">
        <f t="shared" si="30"/>
        <v>34.640799999999999</v>
      </c>
      <c r="I132" s="324"/>
      <c r="J132" s="10">
        <f t="shared" si="25"/>
        <v>0</v>
      </c>
      <c r="K132" s="323">
        <f t="shared" si="26"/>
        <v>241.8824957785275</v>
      </c>
      <c r="L132" s="325">
        <v>0.05</v>
      </c>
      <c r="M132" s="199">
        <f t="shared" si="22"/>
        <v>253.97662056745386</v>
      </c>
      <c r="N132" s="199">
        <f t="shared" si="23"/>
        <v>0</v>
      </c>
    </row>
    <row r="133" spans="3:14" x14ac:dyDescent="0.35">
      <c r="C133" s="10">
        <v>2050</v>
      </c>
      <c r="D133" s="191" t="e">
        <f>F76</f>
        <v>#DIV/0!</v>
      </c>
      <c r="E133" s="193" t="e">
        <f>E91</f>
        <v>#DIV/0!</v>
      </c>
      <c r="F133" s="191" t="e">
        <f t="shared" si="24"/>
        <v>#DIV/0!</v>
      </c>
      <c r="G133" s="194" t="e">
        <f t="shared" si="20"/>
        <v>#DIV/0!</v>
      </c>
      <c r="H133" s="10">
        <f>$D$62</f>
        <v>18.231999999999999</v>
      </c>
      <c r="I133" s="324"/>
      <c r="J133" s="10">
        <f t="shared" si="25"/>
        <v>0</v>
      </c>
      <c r="K133" s="323">
        <f t="shared" si="26"/>
        <v>253.97662056745386</v>
      </c>
      <c r="L133" s="325">
        <v>0.05</v>
      </c>
      <c r="M133" s="199">
        <f t="shared" si="22"/>
        <v>266.67545159582653</v>
      </c>
      <c r="N133" s="199">
        <f t="shared" si="23"/>
        <v>0</v>
      </c>
    </row>
  </sheetData>
  <mergeCells count="144">
    <mergeCell ref="AP35:AQ35"/>
    <mergeCell ref="AR35:AS35"/>
    <mergeCell ref="AT35:AU35"/>
    <mergeCell ref="AV35:AW35"/>
    <mergeCell ref="AP36:AQ36"/>
    <mergeCell ref="AR36:AS36"/>
    <mergeCell ref="AT36:AU36"/>
    <mergeCell ref="AV36:AW36"/>
    <mergeCell ref="AP17:AQ17"/>
    <mergeCell ref="AR17:AS17"/>
    <mergeCell ref="AT17:AU17"/>
    <mergeCell ref="AV17:AW17"/>
    <mergeCell ref="AP18:AQ18"/>
    <mergeCell ref="AR18:AS18"/>
    <mergeCell ref="AT18:AU18"/>
    <mergeCell ref="AV18:AW18"/>
    <mergeCell ref="AP33:AQ33"/>
    <mergeCell ref="AR33:AS33"/>
    <mergeCell ref="AT33:AU33"/>
    <mergeCell ref="AV33:AW33"/>
    <mergeCell ref="AP34:AQ34"/>
    <mergeCell ref="AM34:AN34"/>
    <mergeCell ref="AM33:AN33"/>
    <mergeCell ref="AG18:AH18"/>
    <mergeCell ref="AR12:AS12"/>
    <mergeCell ref="AT12:AU12"/>
    <mergeCell ref="AV12:AW12"/>
    <mergeCell ref="AG33:AH33"/>
    <mergeCell ref="AI33:AJ33"/>
    <mergeCell ref="AK33:AL33"/>
    <mergeCell ref="AA33:AB33"/>
    <mergeCell ref="AA34:AB34"/>
    <mergeCell ref="AA35:AB35"/>
    <mergeCell ref="AA36:AB36"/>
    <mergeCell ref="AA3:AB3"/>
    <mergeCell ref="AA11:AB11"/>
    <mergeCell ref="AA12:AB12"/>
    <mergeCell ref="AA17:AB17"/>
    <mergeCell ref="AA18:AB18"/>
    <mergeCell ref="W34:X34"/>
    <mergeCell ref="Q33:R33"/>
    <mergeCell ref="Q11:R11"/>
    <mergeCell ref="W11:X11"/>
    <mergeCell ref="W12:X12"/>
    <mergeCell ref="W17:X17"/>
    <mergeCell ref="W18:X18"/>
    <mergeCell ref="W33:X33"/>
    <mergeCell ref="C102:D102"/>
    <mergeCell ref="G30:H30"/>
    <mergeCell ref="B101:C101"/>
    <mergeCell ref="B100:C100"/>
    <mergeCell ref="A93:C93"/>
    <mergeCell ref="B97:C97"/>
    <mergeCell ref="B98:C98"/>
    <mergeCell ref="B99:C99"/>
    <mergeCell ref="B96:C96"/>
    <mergeCell ref="R60:T60"/>
    <mergeCell ref="W35:X35"/>
    <mergeCell ref="W36:X36"/>
    <mergeCell ref="Q12:R12"/>
    <mergeCell ref="K11:L11"/>
    <mergeCell ref="M11:N11"/>
    <mergeCell ref="O11:P11"/>
    <mergeCell ref="O36:P36"/>
    <mergeCell ref="Q36:R36"/>
    <mergeCell ref="K33:L33"/>
    <mergeCell ref="K17:L17"/>
    <mergeCell ref="M17:N17"/>
    <mergeCell ref="O17:P17"/>
    <mergeCell ref="Q17:R17"/>
    <mergeCell ref="K18:L18"/>
    <mergeCell ref="M18:N18"/>
    <mergeCell ref="O18:P18"/>
    <mergeCell ref="Q18:R18"/>
    <mergeCell ref="M36:N36"/>
    <mergeCell ref="O35:P35"/>
    <mergeCell ref="Q35:R35"/>
    <mergeCell ref="O34:P34"/>
    <mergeCell ref="Q34:R34"/>
    <mergeCell ref="M33:N33"/>
    <mergeCell ref="O33:P33"/>
    <mergeCell ref="K34:L34"/>
    <mergeCell ref="M34:N34"/>
    <mergeCell ref="K35:L35"/>
    <mergeCell ref="M35:N35"/>
    <mergeCell ref="K36:L36"/>
    <mergeCell ref="W1:X1"/>
    <mergeCell ref="K3:L3"/>
    <mergeCell ref="M3:N3"/>
    <mergeCell ref="O3:P3"/>
    <mergeCell ref="Q3:R3"/>
    <mergeCell ref="W3:X3"/>
    <mergeCell ref="W2:X2"/>
    <mergeCell ref="K12:L12"/>
    <mergeCell ref="M12:N12"/>
    <mergeCell ref="O12:P12"/>
    <mergeCell ref="AR52:AS52"/>
    <mergeCell ref="AR53:AS53"/>
    <mergeCell ref="AR54:AS54"/>
    <mergeCell ref="AF2:AW2"/>
    <mergeCell ref="AP3:AQ3"/>
    <mergeCell ref="AR3:AS3"/>
    <mergeCell ref="AT3:AU3"/>
    <mergeCell ref="AV3:AW3"/>
    <mergeCell ref="AP11:AQ11"/>
    <mergeCell ref="AR11:AS11"/>
    <mergeCell ref="AT11:AU11"/>
    <mergeCell ref="AV11:AW11"/>
    <mergeCell ref="AR34:AS34"/>
    <mergeCell ref="AT34:AU34"/>
    <mergeCell ref="AV34:AW34"/>
    <mergeCell ref="AG12:AH12"/>
    <mergeCell ref="AI12:AJ12"/>
    <mergeCell ref="AK12:AL12"/>
    <mergeCell ref="AM12:AN12"/>
    <mergeCell ref="AP12:AQ12"/>
    <mergeCell ref="AM36:AN36"/>
    <mergeCell ref="AG34:AH34"/>
    <mergeCell ref="AI34:AJ34"/>
    <mergeCell ref="AK34:AL34"/>
    <mergeCell ref="AR55:AS55"/>
    <mergeCell ref="AR56:AS56"/>
    <mergeCell ref="AG3:AH3"/>
    <mergeCell ref="AI3:AJ3"/>
    <mergeCell ref="AK3:AL3"/>
    <mergeCell ref="AM3:AN3"/>
    <mergeCell ref="AG11:AH11"/>
    <mergeCell ref="AI11:AJ11"/>
    <mergeCell ref="AK11:AL11"/>
    <mergeCell ref="AM11:AN11"/>
    <mergeCell ref="AG17:AH17"/>
    <mergeCell ref="AI17:AJ17"/>
    <mergeCell ref="AK17:AL17"/>
    <mergeCell ref="AM17:AN17"/>
    <mergeCell ref="AG35:AH35"/>
    <mergeCell ref="AI35:AJ35"/>
    <mergeCell ref="AK35:AL35"/>
    <mergeCell ref="AM35:AN35"/>
    <mergeCell ref="AG36:AH36"/>
    <mergeCell ref="AI36:AJ36"/>
    <mergeCell ref="AK36:AL36"/>
    <mergeCell ref="AI18:AJ18"/>
    <mergeCell ref="AK18:AL18"/>
    <mergeCell ref="AM18:AN18"/>
  </mergeCell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908C6-88AE-4765-9AEA-5B6E8163CE3B}">
  <sheetPr codeName="Sheet3"/>
  <dimension ref="B4:B16"/>
  <sheetViews>
    <sheetView workbookViewId="0">
      <selection activeCell="G18" sqref="G18"/>
    </sheetView>
  </sheetViews>
  <sheetFormatPr defaultRowHeight="14.5" x14ac:dyDescent="0.35"/>
  <sheetData>
    <row r="4" spans="2:2" x14ac:dyDescent="0.35">
      <c r="B4" t="s">
        <v>386</v>
      </c>
    </row>
    <row r="5" spans="2:2" x14ac:dyDescent="0.35">
      <c r="B5" t="s">
        <v>387</v>
      </c>
    </row>
    <row r="6" spans="2:2" x14ac:dyDescent="0.35">
      <c r="B6" t="s">
        <v>388</v>
      </c>
    </row>
    <row r="7" spans="2:2" x14ac:dyDescent="0.35">
      <c r="B7" t="s">
        <v>389</v>
      </c>
    </row>
    <row r="8" spans="2:2" x14ac:dyDescent="0.35">
      <c r="B8" t="s">
        <v>390</v>
      </c>
    </row>
    <row r="9" spans="2:2" x14ac:dyDescent="0.35">
      <c r="B9" t="s">
        <v>391</v>
      </c>
    </row>
    <row r="10" spans="2:2" x14ac:dyDescent="0.35">
      <c r="B10" t="s">
        <v>390</v>
      </c>
    </row>
    <row r="11" spans="2:2" x14ac:dyDescent="0.35">
      <c r="B11" t="s">
        <v>392</v>
      </c>
    </row>
    <row r="12" spans="2:2" x14ac:dyDescent="0.35">
      <c r="B12" t="s">
        <v>390</v>
      </c>
    </row>
    <row r="13" spans="2:2" x14ac:dyDescent="0.35">
      <c r="B13" t="s">
        <v>393</v>
      </c>
    </row>
    <row r="14" spans="2:2" x14ac:dyDescent="0.35">
      <c r="B14" t="s">
        <v>390</v>
      </c>
    </row>
    <row r="15" spans="2:2" x14ac:dyDescent="0.35">
      <c r="B15" t="s">
        <v>394</v>
      </c>
    </row>
    <row r="16" spans="2:2" x14ac:dyDescent="0.35">
      <c r="B16" t="s">
        <v>395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D411A-C5F4-4757-9A12-FFB9F2F90EB8}">
  <sheetPr codeName="Sheet4"/>
  <dimension ref="A2:H53"/>
  <sheetViews>
    <sheetView zoomScale="85" zoomScaleNormal="85" workbookViewId="0">
      <selection activeCell="D43" sqref="D43"/>
    </sheetView>
  </sheetViews>
  <sheetFormatPr defaultRowHeight="14.5" x14ac:dyDescent="0.35"/>
  <cols>
    <col min="1" max="1" width="52.1796875" customWidth="1"/>
    <col min="2" max="2" width="13.54296875" bestFit="1" customWidth="1"/>
    <col min="3" max="3" width="50.54296875" customWidth="1"/>
    <col min="6" max="6" width="22.81640625" bestFit="1" customWidth="1"/>
    <col min="7" max="7" width="14.26953125" bestFit="1" customWidth="1"/>
    <col min="8" max="8" width="30.453125" bestFit="1" customWidth="1"/>
  </cols>
  <sheetData>
    <row r="2" spans="1:8" x14ac:dyDescent="0.35">
      <c r="A2" t="s">
        <v>240</v>
      </c>
      <c r="B2" t="s">
        <v>241</v>
      </c>
      <c r="C2" s="345" t="s">
        <v>243</v>
      </c>
      <c r="H2" s="345"/>
    </row>
    <row r="3" spans="1:8" x14ac:dyDescent="0.35">
      <c r="B3" t="s">
        <v>242</v>
      </c>
      <c r="C3" s="345"/>
      <c r="H3" s="345"/>
    </row>
    <row r="4" spans="1:8" x14ac:dyDescent="0.35">
      <c r="A4" s="133" t="s">
        <v>283</v>
      </c>
      <c r="C4" s="7"/>
      <c r="H4" s="7"/>
    </row>
    <row r="5" spans="1:8" x14ac:dyDescent="0.35">
      <c r="A5" t="s">
        <v>244</v>
      </c>
      <c r="F5" t="s">
        <v>245</v>
      </c>
    </row>
    <row r="6" spans="1:8" x14ac:dyDescent="0.35">
      <c r="A6" s="419" t="s">
        <v>259</v>
      </c>
      <c r="B6" s="419"/>
      <c r="C6" s="419"/>
      <c r="F6" s="419" t="s">
        <v>259</v>
      </c>
      <c r="G6" s="419"/>
      <c r="H6" s="419"/>
    </row>
    <row r="7" spans="1:8" x14ac:dyDescent="0.35">
      <c r="A7" t="s">
        <v>0</v>
      </c>
      <c r="B7" t="s">
        <v>239</v>
      </c>
      <c r="C7" t="s">
        <v>226</v>
      </c>
      <c r="F7" t="s">
        <v>0</v>
      </c>
      <c r="G7" s="7" t="s">
        <v>239</v>
      </c>
      <c r="H7" t="s">
        <v>226</v>
      </c>
    </row>
    <row r="8" spans="1:8" x14ac:dyDescent="0.35">
      <c r="A8" t="s">
        <v>238</v>
      </c>
      <c r="B8" t="s">
        <v>237</v>
      </c>
      <c r="C8" t="s">
        <v>236</v>
      </c>
      <c r="F8" t="s">
        <v>238</v>
      </c>
      <c r="G8" s="7" t="s">
        <v>237</v>
      </c>
      <c r="H8" t="s">
        <v>236</v>
      </c>
    </row>
    <row r="9" spans="1:8" x14ac:dyDescent="0.35">
      <c r="A9" t="s">
        <v>1</v>
      </c>
      <c r="B9" t="s">
        <v>235</v>
      </c>
      <c r="C9" t="s">
        <v>226</v>
      </c>
      <c r="F9" t="s">
        <v>1</v>
      </c>
      <c r="G9" s="7" t="s">
        <v>235</v>
      </c>
      <c r="H9" t="s">
        <v>226</v>
      </c>
    </row>
    <row r="10" spans="1:8" x14ac:dyDescent="0.35">
      <c r="A10" t="s">
        <v>234</v>
      </c>
      <c r="B10" s="127">
        <v>9500</v>
      </c>
      <c r="C10" t="s">
        <v>287</v>
      </c>
      <c r="F10" t="s">
        <v>234</v>
      </c>
      <c r="G10" s="7">
        <v>9500</v>
      </c>
      <c r="H10" t="s">
        <v>233</v>
      </c>
    </row>
    <row r="11" spans="1:8" x14ac:dyDescent="0.35">
      <c r="A11" s="133" t="s">
        <v>274</v>
      </c>
      <c r="B11" s="136">
        <v>12.5</v>
      </c>
      <c r="C11" s="94" t="s">
        <v>281</v>
      </c>
      <c r="F11" t="s">
        <v>249</v>
      </c>
      <c r="G11" s="7">
        <v>12</v>
      </c>
      <c r="H11" t="s">
        <v>218</v>
      </c>
    </row>
    <row r="12" spans="1:8" x14ac:dyDescent="0.35">
      <c r="A12" s="133" t="s">
        <v>280</v>
      </c>
      <c r="B12" s="136">
        <v>30</v>
      </c>
      <c r="C12" s="94" t="s">
        <v>281</v>
      </c>
      <c r="F12" t="s">
        <v>250</v>
      </c>
      <c r="G12" s="128">
        <f>G10/(G11*24)</f>
        <v>32.986111111111114</v>
      </c>
      <c r="H12" t="s">
        <v>252</v>
      </c>
    </row>
    <row r="13" spans="1:8" x14ac:dyDescent="0.35">
      <c r="A13" s="133" t="s">
        <v>279</v>
      </c>
      <c r="B13" s="136">
        <v>5</v>
      </c>
      <c r="C13" s="94" t="s">
        <v>281</v>
      </c>
      <c r="G13" s="128"/>
    </row>
    <row r="14" spans="1:8" x14ac:dyDescent="0.35">
      <c r="B14" s="127"/>
      <c r="G14" s="128"/>
    </row>
    <row r="15" spans="1:8" x14ac:dyDescent="0.35">
      <c r="A15" s="418" t="s">
        <v>232</v>
      </c>
      <c r="B15" s="418"/>
      <c r="C15" s="418"/>
      <c r="G15" s="128"/>
    </row>
    <row r="16" spans="1:8" x14ac:dyDescent="0.35">
      <c r="A16" t="s">
        <v>231</v>
      </c>
      <c r="B16" s="7">
        <v>500</v>
      </c>
      <c r="C16" t="s">
        <v>257</v>
      </c>
      <c r="G16" s="128"/>
    </row>
    <row r="17" spans="1:8" x14ac:dyDescent="0.35">
      <c r="A17" t="s">
        <v>230</v>
      </c>
      <c r="B17" s="7">
        <v>0</v>
      </c>
      <c r="C17" t="s">
        <v>257</v>
      </c>
      <c r="F17" t="s">
        <v>248</v>
      </c>
      <c r="G17" s="127">
        <v>10000</v>
      </c>
      <c r="H17" t="s">
        <v>218</v>
      </c>
    </row>
    <row r="18" spans="1:8" x14ac:dyDescent="0.35">
      <c r="A18" t="s">
        <v>229</v>
      </c>
      <c r="B18" s="7">
        <v>250</v>
      </c>
      <c r="C18" t="s">
        <v>257</v>
      </c>
      <c r="F18" s="418" t="s">
        <v>232</v>
      </c>
      <c r="G18" s="418"/>
      <c r="H18" s="418"/>
    </row>
    <row r="19" spans="1:8" x14ac:dyDescent="0.35">
      <c r="A19" t="s">
        <v>228</v>
      </c>
      <c r="B19" s="7">
        <v>100</v>
      </c>
      <c r="C19" t="s">
        <v>257</v>
      </c>
      <c r="F19" t="s">
        <v>231</v>
      </c>
      <c r="G19" s="7">
        <v>500</v>
      </c>
      <c r="H19" t="s">
        <v>226</v>
      </c>
    </row>
    <row r="20" spans="1:8" x14ac:dyDescent="0.35">
      <c r="A20" t="s">
        <v>227</v>
      </c>
      <c r="B20" s="7">
        <v>0</v>
      </c>
      <c r="C20" t="s">
        <v>257</v>
      </c>
      <c r="F20" t="s">
        <v>230</v>
      </c>
      <c r="G20" s="7">
        <v>0</v>
      </c>
      <c r="H20" t="s">
        <v>226</v>
      </c>
    </row>
    <row r="21" spans="1:8" x14ac:dyDescent="0.35">
      <c r="A21" t="s">
        <v>225</v>
      </c>
      <c r="B21" s="126">
        <f>(B16*822)+(B17*700)+(B18*622)+(B19*900)</f>
        <v>656500</v>
      </c>
      <c r="F21" t="s">
        <v>229</v>
      </c>
      <c r="G21" s="7">
        <v>250</v>
      </c>
      <c r="H21" t="s">
        <v>226</v>
      </c>
    </row>
    <row r="22" spans="1:8" x14ac:dyDescent="0.35">
      <c r="A22" s="130" t="s">
        <v>276</v>
      </c>
      <c r="B22" s="126">
        <v>50000</v>
      </c>
      <c r="C22" s="130" t="s">
        <v>218</v>
      </c>
      <c r="F22" t="s">
        <v>228</v>
      </c>
      <c r="G22" s="7">
        <v>100</v>
      </c>
      <c r="H22" t="s">
        <v>226</v>
      </c>
    </row>
    <row r="23" spans="1:8" x14ac:dyDescent="0.35">
      <c r="A23" s="95" t="s">
        <v>223</v>
      </c>
      <c r="B23" s="126">
        <v>100000</v>
      </c>
      <c r="C23" s="94" t="s">
        <v>218</v>
      </c>
      <c r="F23" t="s">
        <v>227</v>
      </c>
      <c r="G23" s="7">
        <v>0</v>
      </c>
      <c r="H23" t="s">
        <v>226</v>
      </c>
    </row>
    <row r="24" spans="1:8" x14ac:dyDescent="0.35">
      <c r="A24" s="132" t="s">
        <v>277</v>
      </c>
      <c r="B24" s="126">
        <v>20000</v>
      </c>
      <c r="C24" s="94" t="s">
        <v>218</v>
      </c>
      <c r="F24" t="s">
        <v>225</v>
      </c>
      <c r="G24" s="126">
        <f>(G19*822)+(G20*700)+(G21*622)+(G22*900)</f>
        <v>656500</v>
      </c>
    </row>
    <row r="25" spans="1:8" x14ac:dyDescent="0.35">
      <c r="A25" s="130" t="s">
        <v>258</v>
      </c>
      <c r="B25" s="131">
        <v>15000</v>
      </c>
      <c r="C25" s="130" t="s">
        <v>218</v>
      </c>
      <c r="F25" t="s">
        <v>224</v>
      </c>
      <c r="G25" s="126">
        <v>50000</v>
      </c>
      <c r="H25" t="s">
        <v>218</v>
      </c>
    </row>
    <row r="26" spans="1:8" x14ac:dyDescent="0.35">
      <c r="A26" s="133" t="s">
        <v>255</v>
      </c>
      <c r="B26" s="134"/>
      <c r="C26" t="s">
        <v>257</v>
      </c>
      <c r="F26" s="95" t="s">
        <v>223</v>
      </c>
      <c r="G26" s="126">
        <v>100000</v>
      </c>
      <c r="H26" t="s">
        <v>218</v>
      </c>
    </row>
    <row r="27" spans="1:8" x14ac:dyDescent="0.35">
      <c r="A27" s="133" t="s">
        <v>256</v>
      </c>
      <c r="B27" s="134"/>
      <c r="C27" t="s">
        <v>257</v>
      </c>
      <c r="F27" s="95" t="s">
        <v>222</v>
      </c>
      <c r="G27" s="126">
        <v>20000</v>
      </c>
      <c r="H27" t="s">
        <v>218</v>
      </c>
    </row>
    <row r="28" spans="1:8" x14ac:dyDescent="0.35">
      <c r="A28" t="s">
        <v>246</v>
      </c>
      <c r="B28" s="126">
        <f>SUM(B21:B27)</f>
        <v>841500</v>
      </c>
      <c r="F28" t="s">
        <v>221</v>
      </c>
      <c r="G28" s="126">
        <v>15000</v>
      </c>
      <c r="H28" t="s">
        <v>218</v>
      </c>
    </row>
    <row r="29" spans="1:8" x14ac:dyDescent="0.35">
      <c r="A29" s="129" t="s">
        <v>271</v>
      </c>
      <c r="C29" t="s">
        <v>261</v>
      </c>
      <c r="G29" s="126"/>
    </row>
    <row r="30" spans="1:8" x14ac:dyDescent="0.35">
      <c r="A30" s="129" t="s">
        <v>284</v>
      </c>
      <c r="C30" s="94" t="s">
        <v>218</v>
      </c>
      <c r="G30" s="126"/>
    </row>
    <row r="31" spans="1:8" x14ac:dyDescent="0.35">
      <c r="A31" s="129" t="s">
        <v>272</v>
      </c>
      <c r="C31" s="94" t="s">
        <v>218</v>
      </c>
      <c r="G31" s="126"/>
    </row>
    <row r="32" spans="1:8" x14ac:dyDescent="0.35">
      <c r="A32" s="129" t="s">
        <v>273</v>
      </c>
      <c r="C32" t="s">
        <v>261</v>
      </c>
      <c r="F32" t="s">
        <v>253</v>
      </c>
      <c r="G32" s="126">
        <f>G17*G12</f>
        <v>329861.11111111112</v>
      </c>
      <c r="H32" t="s">
        <v>251</v>
      </c>
    </row>
    <row r="33" spans="1:8" x14ac:dyDescent="0.35">
      <c r="F33" t="s">
        <v>247</v>
      </c>
      <c r="G33" s="126">
        <f>SUM(G24:G32)</f>
        <v>1171361.111111111</v>
      </c>
    </row>
    <row r="34" spans="1:8" x14ac:dyDescent="0.35">
      <c r="A34" s="417" t="s">
        <v>220</v>
      </c>
      <c r="B34" s="417"/>
      <c r="C34" s="417"/>
      <c r="G34" s="126"/>
    </row>
    <row r="35" spans="1:8" x14ac:dyDescent="0.35">
      <c r="A35" s="133" t="s">
        <v>275</v>
      </c>
      <c r="B35">
        <v>50</v>
      </c>
      <c r="C35" t="s">
        <v>218</v>
      </c>
      <c r="G35" s="126"/>
    </row>
    <row r="36" spans="1:8" x14ac:dyDescent="0.35">
      <c r="A36" t="s">
        <v>219</v>
      </c>
      <c r="B36">
        <v>30000</v>
      </c>
      <c r="C36" t="s">
        <v>218</v>
      </c>
      <c r="G36" s="126"/>
    </row>
    <row r="37" spans="1:8" x14ac:dyDescent="0.35">
      <c r="A37" t="s">
        <v>278</v>
      </c>
      <c r="B37" s="115">
        <f>B35*B36</f>
        <v>1500000</v>
      </c>
      <c r="C37" t="s">
        <v>261</v>
      </c>
    </row>
    <row r="38" spans="1:8" x14ac:dyDescent="0.35">
      <c r="A38" s="129" t="s">
        <v>221</v>
      </c>
      <c r="B38" s="137">
        <v>15000</v>
      </c>
      <c r="C38" s="94" t="s">
        <v>218</v>
      </c>
      <c r="F38" s="417" t="s">
        <v>220</v>
      </c>
      <c r="G38" s="417"/>
      <c r="H38" s="417"/>
    </row>
    <row r="39" spans="1:8" x14ac:dyDescent="0.35">
      <c r="A39" s="129" t="s">
        <v>262</v>
      </c>
      <c r="B39" s="137"/>
      <c r="C39" s="94" t="s">
        <v>263</v>
      </c>
      <c r="F39" t="s">
        <v>254</v>
      </c>
      <c r="G39" s="126">
        <v>1500000</v>
      </c>
      <c r="H39" t="s">
        <v>218</v>
      </c>
    </row>
    <row r="40" spans="1:8" x14ac:dyDescent="0.35">
      <c r="A40" t="s">
        <v>217</v>
      </c>
      <c r="B40" s="138">
        <f>SUM(B37:B39)</f>
        <v>1515000</v>
      </c>
      <c r="C40" t="s">
        <v>261</v>
      </c>
      <c r="G40" s="126"/>
    </row>
    <row r="41" spans="1:8" x14ac:dyDescent="0.35">
      <c r="B41" s="138"/>
      <c r="G41" s="125"/>
    </row>
    <row r="42" spans="1:8" x14ac:dyDescent="0.35">
      <c r="A42" s="129" t="s">
        <v>268</v>
      </c>
      <c r="G42" s="125"/>
    </row>
    <row r="43" spans="1:8" x14ac:dyDescent="0.35">
      <c r="A43" s="129" t="s">
        <v>216</v>
      </c>
      <c r="B43" s="124" t="e">
        <f>B40-(B28+'Penalty Calculator'!L44)</f>
        <v>#DIV/0!</v>
      </c>
    </row>
    <row r="44" spans="1:8" x14ac:dyDescent="0.35">
      <c r="A44" s="129" t="s">
        <v>286</v>
      </c>
      <c r="B44" s="124"/>
    </row>
    <row r="45" spans="1:8" x14ac:dyDescent="0.35">
      <c r="A45" s="129" t="s">
        <v>264</v>
      </c>
    </row>
    <row r="46" spans="1:8" x14ac:dyDescent="0.35">
      <c r="A46" s="129" t="s">
        <v>265</v>
      </c>
      <c r="F46" t="s">
        <v>216</v>
      </c>
      <c r="G46" s="124">
        <f>G39-G33</f>
        <v>328638.88888888899</v>
      </c>
    </row>
    <row r="47" spans="1:8" x14ac:dyDescent="0.35">
      <c r="A47" s="129" t="s">
        <v>266</v>
      </c>
    </row>
    <row r="48" spans="1:8" x14ac:dyDescent="0.35">
      <c r="A48" s="129" t="s">
        <v>267</v>
      </c>
    </row>
    <row r="49" spans="1:3" x14ac:dyDescent="0.35">
      <c r="A49" s="129" t="s">
        <v>270</v>
      </c>
    </row>
    <row r="50" spans="1:3" x14ac:dyDescent="0.35">
      <c r="A50" s="129" t="s">
        <v>269</v>
      </c>
    </row>
    <row r="51" spans="1:3" x14ac:dyDescent="0.35">
      <c r="A51" s="130" t="s">
        <v>285</v>
      </c>
      <c r="B51" s="130"/>
      <c r="C51" s="130"/>
    </row>
    <row r="52" spans="1:3" x14ac:dyDescent="0.35">
      <c r="A52" s="130" t="s">
        <v>282</v>
      </c>
      <c r="B52" s="130"/>
      <c r="C52" s="130"/>
    </row>
    <row r="53" spans="1:3" x14ac:dyDescent="0.35">
      <c r="A53" t="s">
        <v>260</v>
      </c>
    </row>
  </sheetData>
  <mergeCells count="8">
    <mergeCell ref="F38:H38"/>
    <mergeCell ref="A15:C15"/>
    <mergeCell ref="A34:C34"/>
    <mergeCell ref="A6:C6"/>
    <mergeCell ref="C2:C3"/>
    <mergeCell ref="H2:H3"/>
    <mergeCell ref="F6:H6"/>
    <mergeCell ref="F18:H18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BE91-D28A-42EC-8165-EBCA01244629}">
  <sheetPr codeName="Sheet5"/>
  <dimension ref="A1:BD41"/>
  <sheetViews>
    <sheetView topLeftCell="AM11" zoomScale="85" zoomScaleNormal="85" workbookViewId="0">
      <selection activeCell="AY28" sqref="AY28"/>
    </sheetView>
  </sheetViews>
  <sheetFormatPr defaultRowHeight="14.5" x14ac:dyDescent="0.35"/>
  <cols>
    <col min="1" max="1" width="13.453125" customWidth="1"/>
    <col min="2" max="2" width="47.81640625" customWidth="1"/>
    <col min="3" max="3" width="35.1796875" customWidth="1"/>
    <col min="4" max="4" width="25.26953125" customWidth="1"/>
    <col min="5" max="5" width="26.54296875" customWidth="1"/>
    <col min="6" max="6" width="23.26953125" customWidth="1"/>
    <col min="7" max="7" width="25.26953125" customWidth="1"/>
    <col min="8" max="8" width="16.26953125" customWidth="1"/>
    <col min="9" max="9" width="20.7265625" customWidth="1"/>
    <col min="10" max="12" width="21.1796875" customWidth="1"/>
    <col min="13" max="13" width="22.81640625" customWidth="1"/>
    <col min="14" max="14" width="98.7265625" customWidth="1"/>
    <col min="15" max="15" width="18.81640625" customWidth="1"/>
    <col min="16" max="16" width="25.453125" customWidth="1"/>
    <col min="17" max="17" width="41" customWidth="1"/>
    <col min="18" max="18" width="82.54296875" customWidth="1"/>
    <col min="19" max="19" width="19.26953125" bestFit="1" customWidth="1"/>
    <col min="20" max="20" width="31.453125" customWidth="1"/>
    <col min="22" max="22" width="63.7265625" customWidth="1"/>
    <col min="23" max="23" width="22.1796875" customWidth="1"/>
    <col min="24" max="24" width="26.1796875" customWidth="1"/>
    <col min="26" max="26" width="51.26953125" customWidth="1"/>
    <col min="27" max="27" width="24.26953125" customWidth="1"/>
    <col min="28" max="28" width="45.453125" customWidth="1"/>
    <col min="30" max="30" width="50.26953125" customWidth="1"/>
    <col min="31" max="31" width="24.26953125" customWidth="1"/>
    <col min="32" max="32" width="45.453125" customWidth="1"/>
    <col min="33" max="33" width="6.26953125" customWidth="1"/>
    <col min="34" max="34" width="45.453125" customWidth="1"/>
    <col min="35" max="35" width="26.1796875" customWidth="1"/>
    <col min="36" max="36" width="23.453125" customWidth="1"/>
    <col min="37" max="37" width="7.26953125" customWidth="1"/>
    <col min="38" max="38" width="48.7265625" customWidth="1"/>
    <col min="39" max="39" width="24.26953125" customWidth="1"/>
    <col min="40" max="40" width="45.453125" customWidth="1"/>
    <col min="42" max="42" width="52" customWidth="1"/>
    <col min="43" max="43" width="29.26953125" customWidth="1"/>
    <col min="44" max="44" width="31.453125" customWidth="1"/>
    <col min="46" max="46" width="52" customWidth="1"/>
    <col min="47" max="47" width="29.26953125" customWidth="1"/>
    <col min="48" max="48" width="31.453125" customWidth="1"/>
    <col min="50" max="50" width="48.7265625" customWidth="1"/>
    <col min="51" max="51" width="24.26953125" customWidth="1"/>
    <col min="52" max="52" width="45.453125" customWidth="1"/>
    <col min="54" max="54" width="48.7265625" customWidth="1"/>
    <col min="55" max="55" width="24.26953125" customWidth="1"/>
    <col min="56" max="56" width="45.453125" customWidth="1"/>
  </cols>
  <sheetData>
    <row r="1" spans="1:12" ht="16" thickBot="1" x14ac:dyDescent="0.4">
      <c r="A1" s="426"/>
      <c r="B1" s="426"/>
      <c r="C1" s="426"/>
      <c r="D1" s="12" t="s">
        <v>8</v>
      </c>
      <c r="E1" s="427" t="s">
        <v>9</v>
      </c>
      <c r="F1" s="428"/>
      <c r="G1" s="428"/>
      <c r="H1" s="428"/>
      <c r="I1" s="429"/>
    </row>
    <row r="2" spans="1:12" ht="62.5" thickBot="1" x14ac:dyDescent="0.4">
      <c r="A2" s="13" t="s">
        <v>10</v>
      </c>
      <c r="B2" s="13" t="s">
        <v>11</v>
      </c>
      <c r="C2" s="13" t="s">
        <v>12</v>
      </c>
      <c r="D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I2" s="13" t="s">
        <v>18</v>
      </c>
      <c r="J2" s="166" t="s">
        <v>294</v>
      </c>
      <c r="K2" s="166" t="s">
        <v>139</v>
      </c>
      <c r="L2" s="166"/>
    </row>
    <row r="3" spans="1:12" ht="34.5" customHeight="1" x14ac:dyDescent="0.35">
      <c r="A3" s="423" t="s">
        <v>19</v>
      </c>
      <c r="B3" s="326" t="s">
        <v>20</v>
      </c>
      <c r="C3" s="14">
        <v>4.0500000000000001E-2</v>
      </c>
      <c r="D3" s="15">
        <v>13.5</v>
      </c>
      <c r="E3" s="16" t="s">
        <v>21</v>
      </c>
      <c r="F3" s="17">
        <v>3.1139999999999999</v>
      </c>
      <c r="G3" s="18">
        <v>5.0000000000000002E-5</v>
      </c>
      <c r="H3" s="18">
        <v>1.8000000000000001E-4</v>
      </c>
      <c r="I3" s="161">
        <v>0</v>
      </c>
      <c r="J3" s="167" t="s">
        <v>290</v>
      </c>
      <c r="K3" s="167">
        <v>0</v>
      </c>
      <c r="L3" s="167"/>
    </row>
    <row r="4" spans="1:12" ht="34.5" customHeight="1" x14ac:dyDescent="0.35">
      <c r="A4" s="424"/>
      <c r="B4" s="327" t="s">
        <v>22</v>
      </c>
      <c r="C4" s="19">
        <v>4.1000000000000002E-2</v>
      </c>
      <c r="D4" s="20">
        <v>13.2</v>
      </c>
      <c r="E4" s="21" t="s">
        <v>21</v>
      </c>
      <c r="F4" s="19">
        <v>3.1509999999999998</v>
      </c>
      <c r="G4" s="22">
        <v>5.0000000000000002E-5</v>
      </c>
      <c r="H4" s="22">
        <v>1.8000000000000001E-4</v>
      </c>
      <c r="I4" s="162">
        <v>0</v>
      </c>
      <c r="J4" s="168" t="s">
        <v>290</v>
      </c>
      <c r="K4" s="168">
        <v>0</v>
      </c>
      <c r="L4" s="168"/>
    </row>
    <row r="5" spans="1:12" ht="34.5" customHeight="1" x14ac:dyDescent="0.35">
      <c r="A5" s="424"/>
      <c r="B5" s="328" t="s">
        <v>23</v>
      </c>
      <c r="C5" s="23">
        <v>4.2700000000000002E-2</v>
      </c>
      <c r="D5" s="24">
        <v>14.4</v>
      </c>
      <c r="E5" s="25" t="s">
        <v>21</v>
      </c>
      <c r="F5" s="26">
        <v>3.206</v>
      </c>
      <c r="G5" s="27">
        <v>5.0000000000000002E-5</v>
      </c>
      <c r="H5" s="27">
        <v>1.8000000000000001E-4</v>
      </c>
      <c r="I5" s="163">
        <v>0</v>
      </c>
      <c r="J5" s="168" t="s">
        <v>290</v>
      </c>
      <c r="K5" s="168">
        <v>0</v>
      </c>
      <c r="L5" s="168"/>
    </row>
    <row r="6" spans="1:12" ht="34.5" customHeight="1" x14ac:dyDescent="0.35">
      <c r="A6" s="424"/>
      <c r="B6" s="329" t="s">
        <v>24</v>
      </c>
      <c r="C6" s="23">
        <v>4.9099999999999998E-2</v>
      </c>
      <c r="D6" s="24">
        <v>18.5</v>
      </c>
      <c r="E6" s="25" t="s">
        <v>24</v>
      </c>
      <c r="F6" s="26">
        <v>2.75</v>
      </c>
      <c r="G6" s="29">
        <v>0</v>
      </c>
      <c r="H6" s="27">
        <v>1.1E-4</v>
      </c>
      <c r="I6" s="164">
        <v>3.1</v>
      </c>
      <c r="J6" s="168" t="s">
        <v>290</v>
      </c>
      <c r="K6" s="195">
        <v>25</v>
      </c>
      <c r="L6" s="168"/>
    </row>
    <row r="7" spans="1:12" ht="34.5" customHeight="1" x14ac:dyDescent="0.35">
      <c r="A7" s="424"/>
      <c r="B7" s="329" t="s">
        <v>25</v>
      </c>
      <c r="C7" s="23">
        <v>4.9099999999999998E-2</v>
      </c>
      <c r="D7" s="24">
        <v>18.5</v>
      </c>
      <c r="E7" s="25" t="s">
        <v>25</v>
      </c>
      <c r="F7" s="26">
        <v>2.75</v>
      </c>
      <c r="G7" s="29">
        <v>0</v>
      </c>
      <c r="H7" s="27">
        <v>1.1E-4</v>
      </c>
      <c r="I7" s="164">
        <v>1.7</v>
      </c>
      <c r="J7" s="168" t="s">
        <v>290</v>
      </c>
      <c r="K7" s="195">
        <v>25</v>
      </c>
      <c r="L7" s="168"/>
    </row>
    <row r="8" spans="1:12" ht="34.5" customHeight="1" x14ac:dyDescent="0.35">
      <c r="A8" s="424"/>
      <c r="B8" s="329" t="s">
        <v>26</v>
      </c>
      <c r="C8" s="23">
        <v>4.9099999999999998E-2</v>
      </c>
      <c r="D8" s="24">
        <v>18.5</v>
      </c>
      <c r="E8" s="25" t="s">
        <v>26</v>
      </c>
      <c r="F8" s="26">
        <v>2.75</v>
      </c>
      <c r="G8" s="29">
        <v>0</v>
      </c>
      <c r="H8" s="27">
        <v>1.1E-4</v>
      </c>
      <c r="I8" s="164">
        <v>0.2</v>
      </c>
      <c r="J8" s="168" t="s">
        <v>290</v>
      </c>
      <c r="K8" s="195">
        <v>25</v>
      </c>
      <c r="L8" s="168"/>
    </row>
    <row r="9" spans="1:12" ht="34.5" customHeight="1" x14ac:dyDescent="0.35">
      <c r="A9" s="424"/>
      <c r="B9" s="31" t="s">
        <v>27</v>
      </c>
      <c r="C9" s="23">
        <v>4.9099999999999998E-2</v>
      </c>
      <c r="D9" s="24">
        <v>18.5</v>
      </c>
      <c r="E9" s="25" t="s">
        <v>28</v>
      </c>
      <c r="F9" s="26">
        <v>2.75</v>
      </c>
      <c r="G9" s="29">
        <v>0</v>
      </c>
      <c r="H9" s="27">
        <v>1.1E-4</v>
      </c>
      <c r="I9" s="164">
        <v>2.6</v>
      </c>
      <c r="J9" s="168" t="s">
        <v>290</v>
      </c>
      <c r="K9" s="195">
        <v>25</v>
      </c>
      <c r="L9" s="168"/>
    </row>
    <row r="10" spans="1:12" ht="34.5" customHeight="1" x14ac:dyDescent="0.35">
      <c r="A10" s="424"/>
      <c r="B10" s="34" t="s">
        <v>99</v>
      </c>
      <c r="C10" s="26">
        <v>4.5999999999999999E-2</v>
      </c>
      <c r="D10" s="24">
        <v>7.8</v>
      </c>
      <c r="E10" s="25" t="s">
        <v>21</v>
      </c>
      <c r="F10" s="26">
        <v>3.03</v>
      </c>
      <c r="G10" s="27">
        <v>5.0000000000000002E-5</v>
      </c>
      <c r="H10" s="27">
        <v>1.8000000000000001E-4</v>
      </c>
      <c r="I10" s="163">
        <v>0</v>
      </c>
      <c r="J10" s="168" t="s">
        <v>290</v>
      </c>
      <c r="K10" s="168">
        <v>0</v>
      </c>
      <c r="L10" s="168"/>
    </row>
    <row r="11" spans="1:12" ht="34.5" customHeight="1" x14ac:dyDescent="0.35">
      <c r="A11" s="424"/>
      <c r="B11" s="34" t="s">
        <v>100</v>
      </c>
      <c r="C11" s="26">
        <v>4.5999999999999999E-2</v>
      </c>
      <c r="D11" s="24">
        <v>7.8</v>
      </c>
      <c r="E11" s="25" t="s">
        <v>21</v>
      </c>
      <c r="F11" s="26">
        <v>3</v>
      </c>
      <c r="G11" s="27">
        <v>5.0000000000000002E-5</v>
      </c>
      <c r="H11" s="27">
        <v>1.8000000000000001E-4</v>
      </c>
      <c r="I11" s="163">
        <v>0</v>
      </c>
      <c r="J11" s="168" t="s">
        <v>290</v>
      </c>
      <c r="K11" s="168">
        <v>0</v>
      </c>
      <c r="L11" s="168"/>
    </row>
    <row r="12" spans="1:12" ht="34.5" customHeight="1" x14ac:dyDescent="0.35">
      <c r="A12" s="424"/>
      <c r="B12" s="34" t="s">
        <v>29</v>
      </c>
      <c r="C12" s="35">
        <v>0.12</v>
      </c>
      <c r="D12" s="29">
        <v>132</v>
      </c>
      <c r="E12" s="25" t="s">
        <v>30</v>
      </c>
      <c r="F12" s="29">
        <v>0</v>
      </c>
      <c r="G12" s="29">
        <v>0</v>
      </c>
      <c r="H12" s="25">
        <v>0</v>
      </c>
      <c r="I12" s="163">
        <v>0</v>
      </c>
      <c r="J12" s="168" t="s">
        <v>290</v>
      </c>
      <c r="K12" s="168">
        <v>0</v>
      </c>
      <c r="L12" s="168"/>
    </row>
    <row r="13" spans="1:12" ht="34.5" customHeight="1" x14ac:dyDescent="0.35">
      <c r="A13" s="424"/>
      <c r="B13" s="34" t="s">
        <v>31</v>
      </c>
      <c r="C13" s="80">
        <v>0.12</v>
      </c>
      <c r="D13" s="81">
        <v>132</v>
      </c>
      <c r="E13" s="79" t="s">
        <v>32</v>
      </c>
      <c r="F13" s="82">
        <v>0</v>
      </c>
      <c r="G13" s="82">
        <v>0</v>
      </c>
      <c r="H13" s="27">
        <v>1.8000000000000001E-4</v>
      </c>
      <c r="I13" s="163">
        <v>0</v>
      </c>
      <c r="J13" s="168" t="s">
        <v>290</v>
      </c>
      <c r="K13" s="168">
        <v>0</v>
      </c>
      <c r="L13" s="168"/>
    </row>
    <row r="14" spans="1:12" ht="34.5" customHeight="1" x14ac:dyDescent="0.35">
      <c r="A14" s="424"/>
      <c r="B14" s="32" t="s">
        <v>33</v>
      </c>
      <c r="C14" s="37">
        <v>1.8599999999999998E-2</v>
      </c>
      <c r="D14" s="38">
        <v>121</v>
      </c>
      <c r="E14" s="33" t="s">
        <v>30</v>
      </c>
      <c r="F14" s="36">
        <v>0</v>
      </c>
      <c r="G14" s="33">
        <v>0</v>
      </c>
      <c r="H14" s="27">
        <v>1.8000000000000001E-4</v>
      </c>
      <c r="I14" s="163">
        <v>0</v>
      </c>
      <c r="J14" s="168" t="s">
        <v>290</v>
      </c>
      <c r="K14" s="168">
        <v>0</v>
      </c>
      <c r="L14" s="168"/>
    </row>
    <row r="15" spans="1:12" ht="34.5" customHeight="1" x14ac:dyDescent="0.35">
      <c r="A15" s="424"/>
      <c r="B15" s="34" t="s">
        <v>34</v>
      </c>
      <c r="C15" s="23">
        <v>1.8599999999999998E-2</v>
      </c>
      <c r="D15" s="29">
        <v>121</v>
      </c>
      <c r="E15" s="39" t="s">
        <v>32</v>
      </c>
      <c r="F15" s="36">
        <v>0</v>
      </c>
      <c r="G15" s="33">
        <v>0</v>
      </c>
      <c r="H15" s="27">
        <v>1.8000000000000001E-4</v>
      </c>
      <c r="I15" s="163">
        <v>0</v>
      </c>
      <c r="J15" s="168" t="s">
        <v>290</v>
      </c>
      <c r="K15" s="168">
        <v>0</v>
      </c>
      <c r="L15" s="168"/>
    </row>
    <row r="16" spans="1:12" ht="34.5" customHeight="1" thickBot="1" x14ac:dyDescent="0.4">
      <c r="A16" s="425"/>
      <c r="B16" s="330" t="s">
        <v>35</v>
      </c>
      <c r="C16" s="40">
        <v>1.9900000000000001E-2</v>
      </c>
      <c r="D16" s="41">
        <v>31.3</v>
      </c>
      <c r="E16" s="42" t="s">
        <v>21</v>
      </c>
      <c r="F16" s="43">
        <v>1.375</v>
      </c>
      <c r="G16" s="42">
        <v>5.0000000000000002E-5</v>
      </c>
      <c r="H16" s="44">
        <v>1.8000000000000001E-4</v>
      </c>
      <c r="I16" s="165">
        <v>0</v>
      </c>
      <c r="J16" s="170" t="s">
        <v>290</v>
      </c>
      <c r="K16" s="168">
        <v>0</v>
      </c>
      <c r="L16" s="170"/>
    </row>
    <row r="17" spans="1:56" ht="34.5" customHeight="1" thickBot="1" x14ac:dyDescent="0.4">
      <c r="A17" s="420" t="s">
        <v>36</v>
      </c>
      <c r="B17" s="331" t="s">
        <v>37</v>
      </c>
      <c r="C17" s="47">
        <v>2.7E-2</v>
      </c>
      <c r="D17" s="179">
        <v>-29.58310185185185</v>
      </c>
      <c r="E17" s="47" t="s">
        <v>21</v>
      </c>
      <c r="F17" s="48">
        <v>1.913</v>
      </c>
      <c r="G17" s="47">
        <v>5.0000000000000002E-5</v>
      </c>
      <c r="H17" s="47">
        <v>1.8000000000000001E-4</v>
      </c>
      <c r="I17" s="169">
        <v>0</v>
      </c>
      <c r="J17" s="172">
        <v>41.268749999999997</v>
      </c>
      <c r="K17" s="168">
        <v>0</v>
      </c>
      <c r="L17" s="167"/>
      <c r="M17" s="11"/>
      <c r="N17" s="49" t="s">
        <v>37</v>
      </c>
      <c r="O17" s="83" t="s">
        <v>101</v>
      </c>
      <c r="P17" s="50" t="s">
        <v>38</v>
      </c>
      <c r="R17" s="49" t="s">
        <v>39</v>
      </c>
      <c r="S17" s="83" t="s">
        <v>101</v>
      </c>
      <c r="T17" s="50" t="s">
        <v>38</v>
      </c>
      <c r="V17" s="49" t="s">
        <v>40</v>
      </c>
      <c r="W17" s="83" t="s">
        <v>101</v>
      </c>
      <c r="X17" s="50" t="s">
        <v>38</v>
      </c>
      <c r="Z17" s="51" t="s">
        <v>41</v>
      </c>
      <c r="AA17" s="83" t="s">
        <v>101</v>
      </c>
      <c r="AB17" s="50" t="s">
        <v>38</v>
      </c>
      <c r="AD17" s="51" t="s">
        <v>52</v>
      </c>
      <c r="AE17" s="83" t="s">
        <v>101</v>
      </c>
      <c r="AF17" s="50" t="s">
        <v>38</v>
      </c>
      <c r="AG17" s="84"/>
      <c r="AH17" s="51" t="s">
        <v>56</v>
      </c>
      <c r="AI17" s="83" t="s">
        <v>101</v>
      </c>
      <c r="AJ17" s="50" t="s">
        <v>38</v>
      </c>
      <c r="AK17" s="84"/>
      <c r="AL17" s="51" t="s">
        <v>61</v>
      </c>
      <c r="AM17" s="83" t="s">
        <v>101</v>
      </c>
      <c r="AN17" s="50" t="s">
        <v>38</v>
      </c>
      <c r="AP17" s="85" t="s">
        <v>102</v>
      </c>
      <c r="AQ17" s="83" t="s">
        <v>101</v>
      </c>
      <c r="AR17" s="50" t="s">
        <v>38</v>
      </c>
      <c r="AT17" s="85" t="s">
        <v>68</v>
      </c>
      <c r="AU17" s="83" t="s">
        <v>101</v>
      </c>
      <c r="AV17" s="50" t="s">
        <v>38</v>
      </c>
      <c r="AX17" s="85" t="s">
        <v>71</v>
      </c>
      <c r="AY17" s="83" t="s">
        <v>101</v>
      </c>
      <c r="AZ17" s="50" t="s">
        <v>38</v>
      </c>
      <c r="BA17" s="7"/>
      <c r="BB17" s="85" t="s">
        <v>74</v>
      </c>
      <c r="BC17" s="83" t="s">
        <v>101</v>
      </c>
      <c r="BD17" s="50" t="s">
        <v>38</v>
      </c>
    </row>
    <row r="18" spans="1:56" ht="34.5" customHeight="1" x14ac:dyDescent="0.35">
      <c r="A18" s="421"/>
      <c r="B18" s="332" t="s">
        <v>39</v>
      </c>
      <c r="C18" s="25">
        <v>3.6999999999999998E-2</v>
      </c>
      <c r="D18" s="179">
        <v>-42.054594594594597</v>
      </c>
      <c r="E18" s="25" t="s">
        <v>21</v>
      </c>
      <c r="F18" s="26">
        <v>2.8340000000000001</v>
      </c>
      <c r="G18" s="25">
        <v>5.0000000000000002E-5</v>
      </c>
      <c r="H18" s="25">
        <v>1.8000000000000001E-4</v>
      </c>
      <c r="I18" s="163">
        <v>0</v>
      </c>
      <c r="J18" s="173">
        <v>34.54</v>
      </c>
      <c r="K18" s="168">
        <v>0</v>
      </c>
      <c r="L18" s="168"/>
      <c r="M18" s="11"/>
      <c r="N18" s="52" t="s">
        <v>42</v>
      </c>
      <c r="O18" s="86">
        <v>27</v>
      </c>
      <c r="P18" s="86">
        <v>38.200000000000003</v>
      </c>
      <c r="Q18" s="6" t="s">
        <v>103</v>
      </c>
      <c r="R18" s="53" t="s">
        <v>43</v>
      </c>
      <c r="S18" s="86" t="s">
        <v>104</v>
      </c>
      <c r="T18" s="86">
        <v>50.1</v>
      </c>
      <c r="U18" s="54"/>
      <c r="V18" s="53" t="s">
        <v>44</v>
      </c>
      <c r="W18" s="86" t="s">
        <v>105</v>
      </c>
      <c r="X18" s="86">
        <v>50.1</v>
      </c>
      <c r="Z18" s="55" t="s">
        <v>45</v>
      </c>
      <c r="AA18" s="56">
        <v>50</v>
      </c>
      <c r="AB18" s="56" t="s">
        <v>106</v>
      </c>
      <c r="AD18" s="55" t="s">
        <v>45</v>
      </c>
      <c r="AE18" s="56">
        <v>50</v>
      </c>
      <c r="AF18" s="56" t="s">
        <v>106</v>
      </c>
      <c r="AG18" s="11"/>
      <c r="AH18" s="55" t="s">
        <v>45</v>
      </c>
      <c r="AI18" s="56">
        <v>50</v>
      </c>
      <c r="AJ18" s="56" t="s">
        <v>106</v>
      </c>
      <c r="AK18" s="11"/>
      <c r="AL18" s="55" t="s">
        <v>45</v>
      </c>
      <c r="AM18" s="56">
        <v>50</v>
      </c>
      <c r="AN18" s="56" t="s">
        <v>106</v>
      </c>
      <c r="AP18" s="8" t="s">
        <v>107</v>
      </c>
      <c r="AQ18" s="10">
        <v>20</v>
      </c>
      <c r="AR18" s="10">
        <v>13.5</v>
      </c>
      <c r="AT18" s="8" t="s">
        <v>108</v>
      </c>
      <c r="AU18" s="10" t="s">
        <v>109</v>
      </c>
      <c r="AV18" s="10">
        <v>40</v>
      </c>
      <c r="AX18" s="55" t="s">
        <v>45</v>
      </c>
      <c r="AY18" s="56">
        <v>120</v>
      </c>
      <c r="AZ18" s="56">
        <v>0</v>
      </c>
      <c r="BB18" s="55" t="s">
        <v>45</v>
      </c>
      <c r="BC18" s="56">
        <v>120</v>
      </c>
      <c r="BD18" s="56">
        <v>0</v>
      </c>
    </row>
    <row r="19" spans="1:56" ht="34.5" customHeight="1" x14ac:dyDescent="0.35">
      <c r="A19" s="421"/>
      <c r="B19" s="332" t="s">
        <v>40</v>
      </c>
      <c r="C19" s="25">
        <v>4.3999999999999997E-2</v>
      </c>
      <c r="D19" s="180">
        <v>-28.035454545454563</v>
      </c>
      <c r="E19" s="25" t="s">
        <v>21</v>
      </c>
      <c r="F19" s="26">
        <v>3.1150000000000002</v>
      </c>
      <c r="G19" s="27">
        <v>5.0000000000000002E-5</v>
      </c>
      <c r="H19" s="27">
        <v>1.8000000000000001E-4</v>
      </c>
      <c r="I19" s="163">
        <v>0</v>
      </c>
      <c r="J19" s="174">
        <v>42.757100000000001</v>
      </c>
      <c r="K19" s="168">
        <v>0</v>
      </c>
      <c r="L19" s="168"/>
      <c r="M19" s="11"/>
      <c r="N19" s="57" t="s">
        <v>46</v>
      </c>
      <c r="O19" s="87">
        <v>27</v>
      </c>
      <c r="P19" s="87">
        <v>25.5</v>
      </c>
      <c r="Q19" s="6" t="s">
        <v>103</v>
      </c>
      <c r="R19" s="59" t="s">
        <v>47</v>
      </c>
      <c r="S19" s="87" t="s">
        <v>104</v>
      </c>
      <c r="T19" s="87">
        <v>44.7</v>
      </c>
      <c r="U19" s="54"/>
      <c r="V19" s="59" t="s">
        <v>48</v>
      </c>
      <c r="W19" s="87" t="s">
        <v>105</v>
      </c>
      <c r="X19" s="87">
        <v>43.6</v>
      </c>
      <c r="Z19" s="60"/>
      <c r="AA19" s="8"/>
      <c r="AB19" s="9"/>
      <c r="AD19" s="60"/>
      <c r="AE19" s="8"/>
      <c r="AF19" s="9"/>
      <c r="AH19" s="60"/>
      <c r="AI19" s="8"/>
      <c r="AJ19" s="9"/>
      <c r="AL19" s="60"/>
      <c r="AM19" s="8"/>
      <c r="AN19" s="9"/>
      <c r="AP19" s="8" t="s">
        <v>110</v>
      </c>
      <c r="AQ19" s="10">
        <v>20</v>
      </c>
      <c r="AR19" s="10">
        <v>16.2</v>
      </c>
      <c r="AT19" s="8" t="s">
        <v>111</v>
      </c>
      <c r="AU19" s="10" t="s">
        <v>109</v>
      </c>
      <c r="AV19" s="10">
        <v>34.299999999999997</v>
      </c>
      <c r="AX19" s="60"/>
      <c r="AY19" s="8"/>
      <c r="AZ19" s="9"/>
      <c r="BB19" s="60"/>
      <c r="BC19" s="8"/>
      <c r="BD19" s="9"/>
    </row>
    <row r="20" spans="1:56" ht="34.5" customHeight="1" x14ac:dyDescent="0.35">
      <c r="A20" s="421"/>
      <c r="B20" s="31" t="s">
        <v>41</v>
      </c>
      <c r="C20" s="26">
        <v>0.05</v>
      </c>
      <c r="D20" s="25">
        <v>-25</v>
      </c>
      <c r="E20" s="25" t="s">
        <v>24</v>
      </c>
      <c r="F20" s="26">
        <v>2.75</v>
      </c>
      <c r="G20" s="29">
        <v>0</v>
      </c>
      <c r="H20" s="27">
        <v>1.1E-4</v>
      </c>
      <c r="I20" s="164">
        <v>3.1</v>
      </c>
      <c r="J20" s="174">
        <v>30</v>
      </c>
      <c r="K20" s="195">
        <v>25</v>
      </c>
      <c r="L20" s="168"/>
      <c r="M20" s="11"/>
      <c r="N20" s="57" t="s">
        <v>49</v>
      </c>
      <c r="O20" s="87">
        <v>27</v>
      </c>
      <c r="P20" s="87">
        <v>30.4</v>
      </c>
      <c r="Q20" s="6" t="s">
        <v>103</v>
      </c>
      <c r="R20" s="59" t="s">
        <v>50</v>
      </c>
      <c r="S20" s="87" t="s">
        <v>104</v>
      </c>
      <c r="T20" s="87">
        <v>47</v>
      </c>
      <c r="U20" s="54"/>
      <c r="V20" s="59" t="s">
        <v>51</v>
      </c>
      <c r="W20" s="87" t="s">
        <v>105</v>
      </c>
      <c r="X20" s="87">
        <v>46.5</v>
      </c>
      <c r="Z20" s="60"/>
      <c r="AA20" s="8"/>
      <c r="AB20" s="9"/>
      <c r="AD20" s="60"/>
      <c r="AE20" s="8"/>
      <c r="AF20" s="9"/>
      <c r="AH20" s="60"/>
      <c r="AI20" s="8"/>
      <c r="AJ20" s="9"/>
      <c r="AL20" s="60"/>
      <c r="AM20" s="8"/>
      <c r="AN20" s="9"/>
      <c r="AP20" s="88" t="s">
        <v>112</v>
      </c>
      <c r="AQ20" s="10">
        <v>20</v>
      </c>
      <c r="AR20" s="10">
        <v>10.4</v>
      </c>
      <c r="AT20" s="88" t="s">
        <v>113</v>
      </c>
      <c r="AU20" s="10" t="s">
        <v>109</v>
      </c>
      <c r="AV20" s="10">
        <v>36.9</v>
      </c>
      <c r="AX20" s="60"/>
      <c r="AY20" s="8"/>
      <c r="AZ20" s="9"/>
      <c r="BB20" s="60"/>
      <c r="BC20" s="8"/>
      <c r="BD20" s="9"/>
    </row>
    <row r="21" spans="1:56" ht="34.5" customHeight="1" x14ac:dyDescent="0.35">
      <c r="A21" s="421"/>
      <c r="B21" s="31" t="s">
        <v>52</v>
      </c>
      <c r="C21" s="26">
        <v>0.05</v>
      </c>
      <c r="D21" s="25">
        <v>-25</v>
      </c>
      <c r="E21" s="25" t="s">
        <v>25</v>
      </c>
      <c r="F21" s="26">
        <v>2.75</v>
      </c>
      <c r="G21" s="29">
        <v>0</v>
      </c>
      <c r="H21" s="27">
        <v>1.1E-4</v>
      </c>
      <c r="I21" s="164">
        <v>1.7</v>
      </c>
      <c r="J21" s="174">
        <v>30</v>
      </c>
      <c r="K21" s="195">
        <v>25</v>
      </c>
      <c r="L21" s="168"/>
      <c r="M21" s="11"/>
      <c r="N21" s="57" t="s">
        <v>53</v>
      </c>
      <c r="O21" s="87">
        <v>27</v>
      </c>
      <c r="P21" s="87">
        <v>22.5</v>
      </c>
      <c r="Q21" s="6" t="s">
        <v>103</v>
      </c>
      <c r="R21" s="59" t="s">
        <v>54</v>
      </c>
      <c r="S21" s="87" t="s">
        <v>104</v>
      </c>
      <c r="T21" s="87">
        <v>75.7</v>
      </c>
      <c r="U21" s="54"/>
      <c r="V21" s="61" t="s">
        <v>55</v>
      </c>
      <c r="W21" s="87" t="s">
        <v>105</v>
      </c>
      <c r="X21" s="87">
        <v>73.3</v>
      </c>
      <c r="Z21" s="60"/>
      <c r="AA21" s="8"/>
      <c r="AB21" s="9"/>
      <c r="AD21" s="60"/>
      <c r="AE21" s="8"/>
      <c r="AF21" s="9"/>
      <c r="AH21" s="60"/>
      <c r="AI21" s="8"/>
      <c r="AJ21" s="9"/>
      <c r="AL21" s="60"/>
      <c r="AM21" s="8"/>
      <c r="AN21" s="9"/>
      <c r="AP21" s="88"/>
      <c r="AQ21" s="10"/>
      <c r="AR21" s="10"/>
      <c r="AT21" s="88" t="s">
        <v>114</v>
      </c>
      <c r="AU21" s="10" t="s">
        <v>109</v>
      </c>
      <c r="AV21" s="10">
        <v>65.400000000000006</v>
      </c>
      <c r="AX21" s="60"/>
      <c r="AY21" s="8"/>
      <c r="AZ21" s="9"/>
      <c r="BB21" s="60"/>
      <c r="BC21" s="8"/>
      <c r="BD21" s="9"/>
    </row>
    <row r="22" spans="1:56" ht="34.5" customHeight="1" x14ac:dyDescent="0.35">
      <c r="A22" s="421"/>
      <c r="B22" s="31" t="s">
        <v>56</v>
      </c>
      <c r="C22" s="26">
        <v>0.05</v>
      </c>
      <c r="D22" s="25">
        <v>-25</v>
      </c>
      <c r="E22" s="25" t="s">
        <v>57</v>
      </c>
      <c r="F22" s="26">
        <v>2.75</v>
      </c>
      <c r="G22" s="29">
        <v>0</v>
      </c>
      <c r="H22" s="27">
        <v>1.1E-4</v>
      </c>
      <c r="I22" s="164">
        <v>0.2</v>
      </c>
      <c r="J22" s="174">
        <v>30</v>
      </c>
      <c r="K22" s="195">
        <v>25</v>
      </c>
      <c r="L22" s="168"/>
      <c r="M22" s="11"/>
      <c r="N22" s="57" t="s">
        <v>58</v>
      </c>
      <c r="O22" s="87">
        <v>27</v>
      </c>
      <c r="P22" s="87">
        <v>50.2</v>
      </c>
      <c r="Q22" s="6" t="s">
        <v>103</v>
      </c>
      <c r="R22" s="61" t="s">
        <v>59</v>
      </c>
      <c r="S22" s="87" t="s">
        <v>104</v>
      </c>
      <c r="T22" s="87">
        <v>51.6</v>
      </c>
      <c r="U22" s="54"/>
      <c r="V22" s="61" t="s">
        <v>60</v>
      </c>
      <c r="W22" s="87" t="s">
        <v>105</v>
      </c>
      <c r="X22" s="87">
        <v>48</v>
      </c>
      <c r="Z22" s="60"/>
      <c r="AA22" s="8"/>
      <c r="AB22" s="9"/>
      <c r="AD22" s="60"/>
      <c r="AE22" s="8"/>
      <c r="AF22" s="9"/>
      <c r="AH22" s="60"/>
      <c r="AI22" s="8"/>
      <c r="AJ22" s="9"/>
      <c r="AL22" s="60"/>
      <c r="AM22" s="8"/>
      <c r="AN22" s="9"/>
      <c r="AP22" s="88"/>
      <c r="AQ22" s="10"/>
      <c r="AR22" s="10"/>
      <c r="AT22" s="88" t="s">
        <v>115</v>
      </c>
      <c r="AU22" s="10" t="s">
        <v>109</v>
      </c>
      <c r="AV22" s="10">
        <v>57.2</v>
      </c>
      <c r="AX22" s="60"/>
      <c r="AY22" s="8"/>
      <c r="AZ22" s="9"/>
      <c r="BB22" s="60"/>
      <c r="BC22" s="8"/>
      <c r="BD22" s="9"/>
    </row>
    <row r="23" spans="1:56" ht="34.5" customHeight="1" x14ac:dyDescent="0.35">
      <c r="A23" s="421"/>
      <c r="B23" s="62" t="s">
        <v>61</v>
      </c>
      <c r="C23" s="26">
        <v>0.05</v>
      </c>
      <c r="D23" s="25">
        <v>-25</v>
      </c>
      <c r="E23" s="25" t="s">
        <v>28</v>
      </c>
      <c r="F23" s="26">
        <v>2.75</v>
      </c>
      <c r="G23" s="29">
        <v>0</v>
      </c>
      <c r="H23" s="27">
        <v>1.1E-4</v>
      </c>
      <c r="I23" s="164">
        <v>2.6</v>
      </c>
      <c r="J23" s="174">
        <v>30</v>
      </c>
      <c r="K23" s="195">
        <v>25</v>
      </c>
      <c r="L23" s="168"/>
      <c r="M23" s="11"/>
      <c r="N23" s="57" t="s">
        <v>62</v>
      </c>
      <c r="O23" s="87">
        <v>27</v>
      </c>
      <c r="P23" s="87">
        <v>33.9</v>
      </c>
      <c r="Q23" s="6" t="s">
        <v>103</v>
      </c>
      <c r="R23" s="59" t="s">
        <v>63</v>
      </c>
      <c r="S23" s="87" t="s">
        <v>104</v>
      </c>
      <c r="T23" s="87">
        <v>14.9</v>
      </c>
      <c r="U23" s="54"/>
      <c r="V23" s="59" t="s">
        <v>64</v>
      </c>
      <c r="W23" s="87" t="s">
        <v>105</v>
      </c>
      <c r="X23" s="87">
        <v>16</v>
      </c>
      <c r="Z23" s="60"/>
      <c r="AA23" s="8"/>
      <c r="AB23" s="9"/>
      <c r="AD23" s="60"/>
      <c r="AE23" s="8"/>
      <c r="AF23" s="9"/>
      <c r="AH23" s="60"/>
      <c r="AI23" s="8"/>
      <c r="AJ23" s="9"/>
      <c r="AL23" s="60"/>
      <c r="AM23" s="8"/>
      <c r="AN23" s="9"/>
      <c r="AP23" s="88"/>
      <c r="AQ23" s="10"/>
      <c r="AR23" s="10"/>
      <c r="AT23" s="88" t="s">
        <v>116</v>
      </c>
      <c r="AU23" s="10" t="s">
        <v>109</v>
      </c>
      <c r="AV23" s="10">
        <v>2.2000000000000002</v>
      </c>
      <c r="AX23" s="60"/>
      <c r="AY23" s="8"/>
      <c r="AZ23" s="9"/>
      <c r="BB23" s="60"/>
      <c r="BC23" s="8"/>
      <c r="BD23" s="9"/>
    </row>
    <row r="24" spans="1:56" ht="34.5" customHeight="1" thickBot="1" x14ac:dyDescent="0.4">
      <c r="A24" s="421"/>
      <c r="B24" s="332" t="s">
        <v>102</v>
      </c>
      <c r="C24" s="26">
        <v>0.02</v>
      </c>
      <c r="D24" s="179">
        <v>-55.383330000000001</v>
      </c>
      <c r="E24" s="25" t="s">
        <v>21</v>
      </c>
      <c r="F24" s="26">
        <v>1.375</v>
      </c>
      <c r="G24" s="25">
        <v>5.0000000000000002E-5</v>
      </c>
      <c r="H24" s="25">
        <v>1.8000000000000001E-4</v>
      </c>
      <c r="I24" s="163">
        <v>0</v>
      </c>
      <c r="J24" s="174">
        <v>13.366669999999999</v>
      </c>
      <c r="K24" s="168">
        <v>0</v>
      </c>
      <c r="L24" s="168"/>
      <c r="M24" s="224"/>
      <c r="N24" s="57" t="s">
        <v>65</v>
      </c>
      <c r="O24" s="87">
        <v>27</v>
      </c>
      <c r="P24" s="87">
        <v>56.8</v>
      </c>
      <c r="Q24" s="6" t="s">
        <v>103</v>
      </c>
      <c r="R24" s="59" t="s">
        <v>66</v>
      </c>
      <c r="S24" s="87" t="s">
        <v>104</v>
      </c>
      <c r="T24" s="87">
        <v>20.8</v>
      </c>
      <c r="U24" s="54"/>
      <c r="V24" s="59" t="s">
        <v>67</v>
      </c>
      <c r="W24" s="87" t="s">
        <v>105</v>
      </c>
      <c r="X24" s="87">
        <v>21.8</v>
      </c>
      <c r="Z24" s="64"/>
      <c r="AA24" s="65"/>
      <c r="AB24" s="66"/>
      <c r="AD24" s="64"/>
      <c r="AE24" s="65"/>
      <c r="AF24" s="66"/>
      <c r="AH24" s="64"/>
      <c r="AI24" s="65"/>
      <c r="AJ24" s="66"/>
      <c r="AP24" s="88"/>
      <c r="AQ24" s="10"/>
      <c r="AR24" s="10"/>
      <c r="AT24" s="88" t="s">
        <v>117</v>
      </c>
      <c r="AU24" s="10" t="s">
        <v>118</v>
      </c>
      <c r="AV24" s="10">
        <v>13.5</v>
      </c>
    </row>
    <row r="25" spans="1:56" ht="45" x14ac:dyDescent="0.35">
      <c r="A25" s="421"/>
      <c r="B25" s="31" t="s">
        <v>119</v>
      </c>
      <c r="C25" s="25">
        <v>3.6999999999999998E-2</v>
      </c>
      <c r="D25" s="180">
        <v>-44.859189189189195</v>
      </c>
      <c r="E25" s="25" t="s">
        <v>21</v>
      </c>
      <c r="F25" s="26">
        <v>3.1150000000000002</v>
      </c>
      <c r="G25" s="27">
        <v>5.0000000000000002E-5</v>
      </c>
      <c r="H25" s="27">
        <v>1.8000000000000001E-4</v>
      </c>
      <c r="I25" s="163">
        <v>0</v>
      </c>
      <c r="J25" s="174">
        <v>39.333329999999997</v>
      </c>
      <c r="K25" s="168">
        <v>0</v>
      </c>
      <c r="L25" s="168"/>
      <c r="M25" s="11"/>
      <c r="N25" s="57" t="s">
        <v>69</v>
      </c>
      <c r="O25" s="87">
        <v>27</v>
      </c>
      <c r="P25" s="87">
        <v>48.5</v>
      </c>
      <c r="Q25" s="6"/>
      <c r="R25" s="59" t="s">
        <v>70</v>
      </c>
      <c r="S25" s="87" t="s">
        <v>120</v>
      </c>
      <c r="T25" s="87">
        <v>13.7</v>
      </c>
      <c r="U25" s="54"/>
      <c r="V25" s="89"/>
      <c r="W25" s="58"/>
      <c r="X25" s="58"/>
      <c r="AT25" s="88" t="s">
        <v>121</v>
      </c>
      <c r="AU25" s="10" t="s">
        <v>118</v>
      </c>
      <c r="AV25" s="10">
        <v>16.2</v>
      </c>
    </row>
    <row r="26" spans="1:56" ht="45" x14ac:dyDescent="0.35">
      <c r="A26" s="421"/>
      <c r="B26" s="31" t="s">
        <v>122</v>
      </c>
      <c r="C26" s="25">
        <v>2.8000000000000001E-2</v>
      </c>
      <c r="D26" s="179">
        <v>-97.95</v>
      </c>
      <c r="E26" s="25" t="s">
        <v>21</v>
      </c>
      <c r="F26" s="26">
        <v>3.1150000000000002</v>
      </c>
      <c r="G26" s="27">
        <v>5.0000000000000002E-5</v>
      </c>
      <c r="H26" s="27">
        <v>1.8000000000000001E-4</v>
      </c>
      <c r="I26" s="163">
        <v>0</v>
      </c>
      <c r="J26" s="174">
        <v>13.3</v>
      </c>
      <c r="K26" s="168">
        <v>0</v>
      </c>
      <c r="L26" s="168"/>
      <c r="M26" s="225"/>
      <c r="N26" s="57" t="s">
        <v>72</v>
      </c>
      <c r="O26" s="87">
        <v>27</v>
      </c>
      <c r="P26" s="87">
        <v>67.8</v>
      </c>
      <c r="Q26" s="6"/>
      <c r="R26" s="59" t="s">
        <v>73</v>
      </c>
      <c r="S26" s="87" t="s">
        <v>120</v>
      </c>
      <c r="T26" s="87">
        <v>16.7</v>
      </c>
      <c r="U26" s="54"/>
      <c r="V26" s="89" t="s">
        <v>123</v>
      </c>
      <c r="W26" s="58"/>
      <c r="X26" s="58"/>
      <c r="AT26" s="88" t="s">
        <v>124</v>
      </c>
      <c r="AU26" s="10" t="s">
        <v>118</v>
      </c>
      <c r="AV26" s="10">
        <v>10.199999999999999</v>
      </c>
    </row>
    <row r="27" spans="1:56" ht="34.5" customHeight="1" x14ac:dyDescent="0.35">
      <c r="A27" s="421"/>
      <c r="B27" s="31" t="s">
        <v>71</v>
      </c>
      <c r="C27" s="25">
        <v>0.12</v>
      </c>
      <c r="D27" s="25">
        <v>0</v>
      </c>
      <c r="E27" s="25" t="s">
        <v>30</v>
      </c>
      <c r="F27" s="29">
        <v>0</v>
      </c>
      <c r="G27" s="29">
        <v>0</v>
      </c>
      <c r="H27" s="29">
        <v>0</v>
      </c>
      <c r="I27" s="163">
        <v>0</v>
      </c>
      <c r="J27" s="174">
        <v>0</v>
      </c>
      <c r="K27" s="168">
        <v>0</v>
      </c>
      <c r="L27" s="168"/>
      <c r="M27" s="11"/>
      <c r="N27" s="57" t="s">
        <v>75</v>
      </c>
      <c r="O27" s="87">
        <v>27</v>
      </c>
      <c r="P27" s="87">
        <v>30.3</v>
      </c>
      <c r="Q27" s="6"/>
      <c r="R27" s="59" t="s">
        <v>125</v>
      </c>
      <c r="S27" s="87" t="s">
        <v>120</v>
      </c>
      <c r="T27" s="87">
        <v>10.199999999999999</v>
      </c>
      <c r="U27" s="54"/>
      <c r="V27" s="54"/>
      <c r="W27" s="54"/>
      <c r="AT27" s="88"/>
      <c r="AU27" s="10"/>
      <c r="AV27" s="10"/>
    </row>
    <row r="28" spans="1:56" ht="34.5" customHeight="1" thickBot="1" x14ac:dyDescent="0.4">
      <c r="A28" s="422"/>
      <c r="B28" s="67" t="s">
        <v>74</v>
      </c>
      <c r="C28" s="68">
        <v>0.12</v>
      </c>
      <c r="D28" s="68">
        <v>0</v>
      </c>
      <c r="E28" s="68" t="s">
        <v>32</v>
      </c>
      <c r="F28" s="69">
        <v>0</v>
      </c>
      <c r="G28" s="69">
        <v>0</v>
      </c>
      <c r="H28" s="27">
        <v>1.8000000000000001E-4</v>
      </c>
      <c r="I28" s="165">
        <v>0</v>
      </c>
      <c r="J28" s="175">
        <v>0</v>
      </c>
      <c r="K28" s="168">
        <v>0</v>
      </c>
      <c r="L28" s="168"/>
      <c r="M28" s="11"/>
      <c r="N28" s="57" t="s">
        <v>77</v>
      </c>
      <c r="O28" s="87">
        <v>27</v>
      </c>
      <c r="P28" s="87">
        <v>58.5</v>
      </c>
      <c r="R28" s="59"/>
      <c r="S28" s="58"/>
      <c r="T28" s="58"/>
      <c r="U28" s="54"/>
      <c r="V28" s="54"/>
      <c r="W28" s="54"/>
      <c r="AT28" s="88"/>
      <c r="AU28" s="10"/>
      <c r="AV28" s="10"/>
    </row>
    <row r="29" spans="1:56" ht="34.5" customHeight="1" x14ac:dyDescent="0.35">
      <c r="A29" s="423" t="s">
        <v>126</v>
      </c>
      <c r="B29" s="46" t="s">
        <v>76</v>
      </c>
      <c r="C29" s="70">
        <v>4.2700000000000002E-2</v>
      </c>
      <c r="D29" s="47">
        <v>27.25</v>
      </c>
      <c r="E29" s="47" t="s">
        <v>21</v>
      </c>
      <c r="F29" s="48">
        <v>3.206</v>
      </c>
      <c r="G29" s="71">
        <v>5.0000000000000002E-5</v>
      </c>
      <c r="H29" s="71">
        <v>1.8000000000000001E-4</v>
      </c>
      <c r="I29" s="72">
        <v>0</v>
      </c>
      <c r="J29" s="167" t="s">
        <v>290</v>
      </c>
      <c r="K29" s="167"/>
      <c r="L29" s="167"/>
      <c r="N29" s="57" t="s">
        <v>80</v>
      </c>
      <c r="O29" s="87">
        <v>27</v>
      </c>
      <c r="P29" s="87">
        <v>50.3</v>
      </c>
      <c r="R29" s="89" t="s">
        <v>127</v>
      </c>
      <c r="S29" s="58"/>
      <c r="T29" s="58"/>
      <c r="U29" s="54"/>
      <c r="V29" s="54"/>
      <c r="W29" s="54"/>
      <c r="AT29" s="8"/>
      <c r="AU29" s="8"/>
      <c r="AV29" s="8"/>
    </row>
    <row r="30" spans="1:56" ht="34.5" customHeight="1" x14ac:dyDescent="0.35">
      <c r="A30" s="424"/>
      <c r="B30" s="31" t="s">
        <v>78</v>
      </c>
      <c r="C30" s="23">
        <v>1.9900000000000001E-2</v>
      </c>
      <c r="D30" s="25">
        <v>13.37</v>
      </c>
      <c r="E30" s="25" t="s">
        <v>79</v>
      </c>
      <c r="F30" s="26">
        <v>1.375</v>
      </c>
      <c r="G30" s="25">
        <v>5.0000000000000002E-5</v>
      </c>
      <c r="H30" s="25">
        <v>1.8000000000000001E-4</v>
      </c>
      <c r="I30" s="28">
        <v>0</v>
      </c>
      <c r="J30" s="168" t="s">
        <v>290</v>
      </c>
      <c r="K30" s="168"/>
      <c r="L30" s="168"/>
      <c r="N30" s="57" t="s">
        <v>82</v>
      </c>
      <c r="O30" s="87">
        <v>27</v>
      </c>
      <c r="P30" s="87">
        <v>71.7</v>
      </c>
      <c r="R30" s="89" t="s">
        <v>128</v>
      </c>
      <c r="S30" s="58"/>
      <c r="T30" s="58"/>
      <c r="U30" s="54"/>
      <c r="V30" s="54"/>
      <c r="W30" s="54"/>
      <c r="AT30" s="8"/>
      <c r="AU30" s="8"/>
      <c r="AV30" s="8"/>
    </row>
    <row r="31" spans="1:56" ht="34.5" customHeight="1" x14ac:dyDescent="0.35">
      <c r="A31" s="424"/>
      <c r="B31" s="31" t="s">
        <v>81</v>
      </c>
      <c r="C31" s="23">
        <v>4.9099999999999998E-2</v>
      </c>
      <c r="D31" s="25">
        <v>29.98</v>
      </c>
      <c r="E31" s="25" t="s">
        <v>24</v>
      </c>
      <c r="F31" s="26">
        <v>2.75</v>
      </c>
      <c r="G31" s="29">
        <v>0</v>
      </c>
      <c r="H31" s="27">
        <v>1.1E-4</v>
      </c>
      <c r="I31" s="30">
        <v>3.1</v>
      </c>
      <c r="J31" s="168" t="s">
        <v>290</v>
      </c>
      <c r="K31" s="168"/>
      <c r="L31" s="168"/>
      <c r="N31" s="57" t="s">
        <v>84</v>
      </c>
      <c r="O31" s="87">
        <v>27</v>
      </c>
      <c r="P31" s="87">
        <v>31.4</v>
      </c>
      <c r="R31" s="59"/>
      <c r="S31" s="58"/>
      <c r="T31" s="58"/>
      <c r="U31" s="54"/>
      <c r="V31" s="54"/>
      <c r="W31" s="54"/>
      <c r="AT31" s="8" t="s">
        <v>129</v>
      </c>
      <c r="AU31" s="8"/>
      <c r="AV31" s="8"/>
    </row>
    <row r="32" spans="1:56" ht="34.5" customHeight="1" x14ac:dyDescent="0.35">
      <c r="A32" s="424"/>
      <c r="B32" s="31" t="s">
        <v>83</v>
      </c>
      <c r="C32" s="23">
        <v>4.9099999999999998E-2</v>
      </c>
      <c r="D32" s="25">
        <v>29.98</v>
      </c>
      <c r="E32" s="25" t="s">
        <v>25</v>
      </c>
      <c r="F32" s="26">
        <v>2.75</v>
      </c>
      <c r="G32" s="29">
        <v>0</v>
      </c>
      <c r="H32" s="27">
        <v>1.1E-4</v>
      </c>
      <c r="I32" s="30">
        <v>1.7</v>
      </c>
      <c r="J32" s="168" t="s">
        <v>290</v>
      </c>
      <c r="K32" s="168"/>
      <c r="L32" s="168"/>
      <c r="N32" s="57" t="s">
        <v>86</v>
      </c>
      <c r="O32" s="87">
        <v>27</v>
      </c>
      <c r="P32" s="87">
        <v>28.6</v>
      </c>
      <c r="R32" s="59"/>
      <c r="S32" s="58"/>
      <c r="T32" s="58"/>
      <c r="U32" s="54"/>
      <c r="V32" s="54"/>
      <c r="W32" s="54"/>
      <c r="AT32" s="8" t="s">
        <v>130</v>
      </c>
      <c r="AU32" s="8"/>
      <c r="AV32" s="8"/>
    </row>
    <row r="33" spans="1:48" ht="34.5" customHeight="1" thickBot="1" x14ac:dyDescent="0.4">
      <c r="A33" s="424"/>
      <c r="B33" s="31" t="s">
        <v>85</v>
      </c>
      <c r="C33" s="23">
        <v>4.9099999999999998E-2</v>
      </c>
      <c r="D33" s="25">
        <v>29.98</v>
      </c>
      <c r="E33" s="25" t="s">
        <v>57</v>
      </c>
      <c r="F33" s="26">
        <v>2.75</v>
      </c>
      <c r="G33" s="29">
        <v>0</v>
      </c>
      <c r="H33" s="27">
        <v>1.1E-4</v>
      </c>
      <c r="I33" s="30">
        <v>0.2</v>
      </c>
      <c r="J33" s="168" t="s">
        <v>290</v>
      </c>
      <c r="K33" s="168"/>
      <c r="L33" s="168"/>
      <c r="N33" s="73" t="s">
        <v>88</v>
      </c>
      <c r="O33" s="87">
        <v>27</v>
      </c>
      <c r="P33" s="90">
        <v>15.7</v>
      </c>
      <c r="R33" s="63"/>
      <c r="S33" s="74"/>
      <c r="T33" s="74"/>
      <c r="U33" s="54"/>
      <c r="V33" s="54"/>
      <c r="W33" s="54"/>
      <c r="AT33" s="8"/>
      <c r="AU33" s="8"/>
      <c r="AV33" s="8"/>
    </row>
    <row r="34" spans="1:48" ht="34.5" customHeight="1" x14ac:dyDescent="0.35">
      <c r="A34" s="424"/>
      <c r="B34" s="31" t="s">
        <v>87</v>
      </c>
      <c r="C34" s="23">
        <v>4.9099999999999998E-2</v>
      </c>
      <c r="D34" s="25">
        <v>29.98</v>
      </c>
      <c r="E34" s="25" t="s">
        <v>28</v>
      </c>
      <c r="F34" s="26">
        <v>2.75</v>
      </c>
      <c r="G34" s="29">
        <v>0</v>
      </c>
      <c r="H34" s="27">
        <v>1.1E-4</v>
      </c>
      <c r="I34" s="30">
        <v>2.6</v>
      </c>
      <c r="J34" s="168" t="s">
        <v>290</v>
      </c>
      <c r="K34" s="168"/>
      <c r="L34" s="168"/>
    </row>
    <row r="35" spans="1:48" ht="34.5" customHeight="1" x14ac:dyDescent="0.35">
      <c r="A35" s="424"/>
      <c r="B35" s="31" t="s">
        <v>89</v>
      </c>
      <c r="C35" s="35">
        <v>0.12</v>
      </c>
      <c r="D35" s="25">
        <v>29.98</v>
      </c>
      <c r="E35" s="25" t="s">
        <v>30</v>
      </c>
      <c r="F35" s="29">
        <v>0</v>
      </c>
      <c r="G35" s="29">
        <v>0</v>
      </c>
      <c r="H35" s="29">
        <v>0</v>
      </c>
      <c r="I35" s="28">
        <v>0</v>
      </c>
      <c r="J35" s="168" t="s">
        <v>290</v>
      </c>
      <c r="K35" s="168"/>
      <c r="L35" s="168"/>
    </row>
    <row r="36" spans="1:48" ht="34.5" customHeight="1" x14ac:dyDescent="0.35">
      <c r="A36" s="424"/>
      <c r="B36" s="31" t="s">
        <v>90</v>
      </c>
      <c r="C36" s="35">
        <v>0.12</v>
      </c>
      <c r="D36" s="25">
        <v>29.98</v>
      </c>
      <c r="E36" s="25" t="s">
        <v>32</v>
      </c>
      <c r="F36" s="29">
        <v>0</v>
      </c>
      <c r="G36" s="29">
        <v>0</v>
      </c>
      <c r="H36" s="25">
        <v>1.8000000000000001E-4</v>
      </c>
      <c r="I36" s="28">
        <v>0</v>
      </c>
      <c r="J36" s="168" t="s">
        <v>290</v>
      </c>
      <c r="K36" s="168"/>
      <c r="L36" s="168"/>
    </row>
    <row r="37" spans="1:48" ht="34.5" customHeight="1" x14ac:dyDescent="0.35">
      <c r="A37" s="424"/>
      <c r="B37" s="31" t="s">
        <v>91</v>
      </c>
      <c r="C37" s="23">
        <v>1.8599999999999998E-2</v>
      </c>
      <c r="D37" s="25">
        <v>29.98</v>
      </c>
      <c r="E37" s="25" t="s">
        <v>30</v>
      </c>
      <c r="F37" s="29">
        <v>0</v>
      </c>
      <c r="G37" s="25">
        <v>0</v>
      </c>
      <c r="H37" s="25">
        <v>1.8000000000000001E-4</v>
      </c>
      <c r="I37" s="28">
        <v>0</v>
      </c>
      <c r="J37" s="168" t="s">
        <v>290</v>
      </c>
      <c r="K37" s="168"/>
      <c r="L37" s="168"/>
    </row>
    <row r="38" spans="1:48" ht="34.5" customHeight="1" x14ac:dyDescent="0.35">
      <c r="A38" s="424"/>
      <c r="B38" s="31" t="s">
        <v>92</v>
      </c>
      <c r="C38" s="23">
        <v>1.8599999999999998E-2</v>
      </c>
      <c r="D38" s="25">
        <v>29.98</v>
      </c>
      <c r="E38" s="25" t="s">
        <v>32</v>
      </c>
      <c r="F38" s="29">
        <v>0</v>
      </c>
      <c r="G38" s="25">
        <v>0</v>
      </c>
      <c r="H38" s="25">
        <v>1.8000000000000001E-4</v>
      </c>
      <c r="I38" s="28">
        <v>0</v>
      </c>
      <c r="J38" s="168" t="s">
        <v>290</v>
      </c>
      <c r="K38" s="168"/>
      <c r="L38" s="168"/>
    </row>
    <row r="39" spans="1:48" ht="34.5" customHeight="1" x14ac:dyDescent="0.35">
      <c r="A39" s="424"/>
      <c r="B39" s="31" t="s">
        <v>93</v>
      </c>
      <c r="C39" s="25">
        <v>0</v>
      </c>
      <c r="D39" s="25">
        <v>29.98</v>
      </c>
      <c r="E39" s="75"/>
      <c r="F39" s="25">
        <v>0</v>
      </c>
      <c r="G39" s="25">
        <v>0</v>
      </c>
      <c r="H39" s="25">
        <v>0</v>
      </c>
      <c r="I39" s="28">
        <v>0</v>
      </c>
      <c r="J39" s="168" t="s">
        <v>290</v>
      </c>
      <c r="K39" s="168"/>
      <c r="L39" s="168"/>
    </row>
    <row r="40" spans="1:48" ht="34.5" customHeight="1" thickBot="1" x14ac:dyDescent="0.4">
      <c r="A40" s="425"/>
      <c r="B40" s="67" t="s">
        <v>94</v>
      </c>
      <c r="C40" s="68">
        <v>0</v>
      </c>
      <c r="D40" s="68">
        <v>29.98</v>
      </c>
      <c r="E40" s="76"/>
      <c r="F40" s="68">
        <v>0</v>
      </c>
      <c r="G40" s="68">
        <v>0</v>
      </c>
      <c r="H40" s="68">
        <v>0</v>
      </c>
      <c r="I40" s="45">
        <v>0</v>
      </c>
      <c r="J40" s="171" t="s">
        <v>290</v>
      </c>
      <c r="K40" s="171"/>
      <c r="L40" s="171"/>
    </row>
    <row r="41" spans="1:48" ht="30.5" thickBot="1" x14ac:dyDescent="0.4">
      <c r="A41" s="77" t="s">
        <v>95</v>
      </c>
      <c r="B41" s="78" t="s">
        <v>96</v>
      </c>
      <c r="C41" s="79" t="s">
        <v>4</v>
      </c>
      <c r="D41" s="79" t="s">
        <v>97</v>
      </c>
      <c r="E41" s="79" t="s">
        <v>98</v>
      </c>
      <c r="F41" s="79">
        <v>0</v>
      </c>
      <c r="G41" s="79">
        <v>0</v>
      </c>
      <c r="H41" s="79">
        <v>0</v>
      </c>
      <c r="I41" s="79">
        <v>0</v>
      </c>
    </row>
  </sheetData>
  <mergeCells count="5">
    <mergeCell ref="A17:A28"/>
    <mergeCell ref="A29:A40"/>
    <mergeCell ref="A1:C1"/>
    <mergeCell ref="E1:I1"/>
    <mergeCell ref="A3:A16"/>
  </mergeCell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F869-76EA-450B-B01B-CEBBBBB1C148}">
  <sheetPr codeName="Sheet6"/>
  <dimension ref="A1:J29"/>
  <sheetViews>
    <sheetView topLeftCell="A10" workbookViewId="0">
      <selection activeCell="E23" sqref="E23"/>
    </sheetView>
  </sheetViews>
  <sheetFormatPr defaultRowHeight="14.5" x14ac:dyDescent="0.35"/>
  <cols>
    <col min="1" max="1" width="14.81640625" bestFit="1" customWidth="1"/>
    <col min="2" max="2" width="93" bestFit="1" customWidth="1"/>
    <col min="5" max="5" width="18.453125" customWidth="1"/>
    <col min="7" max="7" width="13.7265625" customWidth="1"/>
    <col min="8" max="8" width="18.1796875" customWidth="1"/>
    <col min="9" max="9" width="15" customWidth="1"/>
    <col min="10" max="10" width="22" customWidth="1"/>
  </cols>
  <sheetData>
    <row r="1" spans="1:10" x14ac:dyDescent="0.35">
      <c r="A1" t="s">
        <v>146</v>
      </c>
    </row>
    <row r="2" spans="1:10" x14ac:dyDescent="0.35">
      <c r="A2" t="s">
        <v>147</v>
      </c>
      <c r="B2" t="s">
        <v>148</v>
      </c>
    </row>
    <row r="4" spans="1:10" x14ac:dyDescent="0.35">
      <c r="A4" t="s">
        <v>173</v>
      </c>
      <c r="B4" t="s">
        <v>172</v>
      </c>
    </row>
    <row r="11" spans="1:10" ht="43.5" x14ac:dyDescent="0.35">
      <c r="E11" s="304" t="s">
        <v>401</v>
      </c>
      <c r="F11" s="304" t="s">
        <v>299</v>
      </c>
      <c r="G11" s="305" t="s">
        <v>402</v>
      </c>
      <c r="H11" s="305" t="s">
        <v>403</v>
      </c>
      <c r="I11" s="305" t="s">
        <v>404</v>
      </c>
      <c r="J11" s="305" t="s">
        <v>405</v>
      </c>
    </row>
    <row r="12" spans="1:10" x14ac:dyDescent="0.35">
      <c r="E12" s="306" t="s">
        <v>406</v>
      </c>
      <c r="F12" s="307"/>
      <c r="G12" s="308">
        <v>89.34</v>
      </c>
      <c r="H12" s="309"/>
      <c r="I12" s="309"/>
      <c r="J12" s="8"/>
    </row>
    <row r="13" spans="1:10" x14ac:dyDescent="0.35">
      <c r="E13" s="8" t="s">
        <v>407</v>
      </c>
      <c r="F13" s="310">
        <v>4.0500000000000001E-2</v>
      </c>
      <c r="G13" s="311">
        <v>91.74</v>
      </c>
      <c r="H13" s="312">
        <v>514</v>
      </c>
      <c r="I13" s="309"/>
      <c r="J13" s="313">
        <v>3.1688900000000002</v>
      </c>
    </row>
    <row r="14" spans="1:10" x14ac:dyDescent="0.35">
      <c r="E14" s="8" t="s">
        <v>408</v>
      </c>
      <c r="F14" s="310">
        <v>4.0500000000000001E-2</v>
      </c>
      <c r="G14" s="311">
        <v>91.74</v>
      </c>
      <c r="H14" s="312">
        <v>586</v>
      </c>
      <c r="I14" s="309"/>
      <c r="J14" s="313">
        <v>3.1688900000000002</v>
      </c>
    </row>
    <row r="15" spans="1:10" x14ac:dyDescent="0.35">
      <c r="E15" s="8" t="s">
        <v>409</v>
      </c>
      <c r="F15" s="310">
        <v>4.1000000000000002E-2</v>
      </c>
      <c r="G15" s="311">
        <v>91.39</v>
      </c>
      <c r="H15" s="312">
        <v>710</v>
      </c>
      <c r="I15" s="309"/>
      <c r="J15" s="313">
        <v>3.2058900000000001</v>
      </c>
    </row>
    <row r="16" spans="1:10" x14ac:dyDescent="0.35">
      <c r="E16" s="8" t="s">
        <v>410</v>
      </c>
      <c r="F16" s="310">
        <v>4.2700000000000002E-2</v>
      </c>
      <c r="G16" s="311">
        <v>90.77</v>
      </c>
      <c r="H16" s="312">
        <v>784</v>
      </c>
      <c r="I16" s="309"/>
      <c r="J16" s="313">
        <v>3.2608900000000003</v>
      </c>
    </row>
    <row r="17" spans="5:10" x14ac:dyDescent="0.35">
      <c r="E17" s="314" t="s">
        <v>411</v>
      </c>
      <c r="F17" s="315">
        <v>3.6999999999999998E-2</v>
      </c>
      <c r="G17" s="316">
        <v>33</v>
      </c>
      <c r="H17" s="309"/>
      <c r="I17" s="309"/>
      <c r="J17" s="317">
        <v>5.4890000000000001E-2</v>
      </c>
    </row>
    <row r="18" spans="5:10" x14ac:dyDescent="0.35">
      <c r="E18" s="8" t="s">
        <v>412</v>
      </c>
      <c r="F18" s="310">
        <v>4.0150000000000005E-2</v>
      </c>
      <c r="G18" s="318">
        <v>86.326849315068486</v>
      </c>
      <c r="H18" s="312">
        <v>620</v>
      </c>
      <c r="I18" s="319">
        <v>1.0087173100871729</v>
      </c>
      <c r="J18" s="313">
        <v>2.8574900000000003</v>
      </c>
    </row>
    <row r="19" spans="5:10" x14ac:dyDescent="0.35">
      <c r="E19" s="8" t="s">
        <v>413</v>
      </c>
      <c r="F19" s="310">
        <v>3.9800000000000002E-2</v>
      </c>
      <c r="G19" s="318">
        <v>80.818492462311568</v>
      </c>
      <c r="H19" s="312">
        <v>701</v>
      </c>
      <c r="I19" s="319">
        <v>1.0175879396984924</v>
      </c>
      <c r="J19" s="313">
        <v>2.5460900000000004</v>
      </c>
    </row>
    <row r="20" spans="5:10" x14ac:dyDescent="0.35">
      <c r="E20" s="8" t="s">
        <v>414</v>
      </c>
      <c r="F20" s="310">
        <v>3.9449999999999999E-2</v>
      </c>
      <c r="G20" s="318">
        <v>75.212395437262359</v>
      </c>
      <c r="H20" s="312">
        <v>783</v>
      </c>
      <c r="I20" s="319">
        <v>1.0266159695817492</v>
      </c>
      <c r="J20" s="313">
        <v>2.2346900000000001</v>
      </c>
    </row>
    <row r="21" spans="5:10" x14ac:dyDescent="0.35">
      <c r="E21" s="8" t="s">
        <v>415</v>
      </c>
      <c r="F21" s="310">
        <v>4.0150000000000005E-2</v>
      </c>
      <c r="G21" s="318">
        <v>86.326849315068486</v>
      </c>
      <c r="H21" s="312">
        <v>670</v>
      </c>
      <c r="I21" s="319">
        <v>1.0087173100871729</v>
      </c>
      <c r="J21" s="313">
        <v>2.8574900000000003</v>
      </c>
    </row>
    <row r="22" spans="5:10" x14ac:dyDescent="0.35">
      <c r="E22" s="8" t="s">
        <v>416</v>
      </c>
      <c r="F22" s="310">
        <v>3.9800000000000002E-2</v>
      </c>
      <c r="G22" s="318">
        <v>80.818492462311568</v>
      </c>
      <c r="H22" s="312">
        <v>746</v>
      </c>
      <c r="I22" s="319">
        <v>1.0175879396984924</v>
      </c>
      <c r="J22" s="313">
        <v>2.5460900000000004</v>
      </c>
    </row>
    <row r="23" spans="5:10" x14ac:dyDescent="0.35">
      <c r="E23" s="8" t="s">
        <v>417</v>
      </c>
      <c r="F23" s="310">
        <v>3.9449999999999999E-2</v>
      </c>
      <c r="G23" s="318">
        <v>75.212395437262359</v>
      </c>
      <c r="H23" s="312">
        <v>822</v>
      </c>
      <c r="I23" s="319">
        <v>1.0266159695817492</v>
      </c>
      <c r="J23" s="313">
        <v>2.2346900000000001</v>
      </c>
    </row>
    <row r="24" spans="5:10" x14ac:dyDescent="0.35">
      <c r="E24" s="8" t="s">
        <v>418</v>
      </c>
      <c r="F24" s="310">
        <v>4.0600000000000004E-2</v>
      </c>
      <c r="G24" s="318">
        <v>86.068743842364526</v>
      </c>
      <c r="H24" s="309"/>
      <c r="I24" s="319">
        <v>1.0098522167487685</v>
      </c>
      <c r="J24" s="313">
        <v>2.89079</v>
      </c>
    </row>
    <row r="25" spans="5:10" x14ac:dyDescent="0.35">
      <c r="E25" s="8" t="s">
        <v>419</v>
      </c>
      <c r="F25" s="310">
        <v>4.02E-2</v>
      </c>
      <c r="G25" s="318">
        <v>80.641592039801012</v>
      </c>
      <c r="H25" s="309"/>
      <c r="I25" s="319">
        <v>1.0199004975124379</v>
      </c>
      <c r="J25" s="313">
        <v>2.5756900000000003</v>
      </c>
    </row>
    <row r="26" spans="5:10" x14ac:dyDescent="0.35">
      <c r="E26" s="8" t="s">
        <v>420</v>
      </c>
      <c r="F26" s="310">
        <v>3.9800000000000002E-2</v>
      </c>
      <c r="G26" s="318">
        <v>75.105351758793958</v>
      </c>
      <c r="H26" s="312">
        <v>857</v>
      </c>
      <c r="I26" s="319">
        <v>1.0301507537688441</v>
      </c>
      <c r="J26" s="313">
        <v>2.2605900000000001</v>
      </c>
    </row>
    <row r="27" spans="5:10" x14ac:dyDescent="0.35">
      <c r="E27" s="8" t="s">
        <v>421</v>
      </c>
      <c r="F27" s="310">
        <v>4.2130000000000008E-2</v>
      </c>
      <c r="G27" s="318">
        <v>85.696441965345358</v>
      </c>
      <c r="H27" s="312">
        <v>857</v>
      </c>
      <c r="I27" s="319">
        <v>1.0135295513885592</v>
      </c>
      <c r="J27" s="313">
        <v>2.9402900000000001</v>
      </c>
    </row>
    <row r="28" spans="5:10" x14ac:dyDescent="0.35">
      <c r="E28" s="8" t="s">
        <v>422</v>
      </c>
      <c r="F28" s="310">
        <v>4.156E-2</v>
      </c>
      <c r="G28" s="318">
        <v>80.483715110683363</v>
      </c>
      <c r="H28" s="312">
        <v>912</v>
      </c>
      <c r="I28" s="319">
        <v>1.0274302213666988</v>
      </c>
      <c r="J28" s="313">
        <v>2.6196900000000007</v>
      </c>
    </row>
    <row r="29" spans="5:10" x14ac:dyDescent="0.35">
      <c r="E29" s="8" t="s">
        <v>423</v>
      </c>
      <c r="F29" s="310">
        <v>4.0989999999999999E-2</v>
      </c>
      <c r="G29" s="318">
        <v>75.12601366186874</v>
      </c>
      <c r="H29" s="312">
        <v>967</v>
      </c>
      <c r="I29" s="319">
        <v>1.0417174920712369</v>
      </c>
      <c r="J29" s="313">
        <v>2.2990900000000001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7C175-21DF-4218-BDF1-CDA9EB514078}">
  <sheetPr codeName="Sheet7"/>
  <dimension ref="A2:R19"/>
  <sheetViews>
    <sheetView workbookViewId="0">
      <selection activeCell="C24" sqref="C24"/>
    </sheetView>
  </sheetViews>
  <sheetFormatPr defaultRowHeight="14.5" x14ac:dyDescent="0.35"/>
  <cols>
    <col min="10" max="10" width="18.1796875" customWidth="1"/>
  </cols>
  <sheetData>
    <row r="2" spans="1:18" ht="21" x14ac:dyDescent="0.5">
      <c r="C2" s="116" t="s">
        <v>188</v>
      </c>
      <c r="D2" s="114"/>
      <c r="E2" s="114"/>
      <c r="F2" s="114"/>
      <c r="G2" s="114"/>
      <c r="H2" s="114"/>
      <c r="Q2" s="117" t="s">
        <v>189</v>
      </c>
      <c r="R2" s="114"/>
    </row>
    <row r="4" spans="1:18" x14ac:dyDescent="0.35">
      <c r="A4">
        <v>1</v>
      </c>
      <c r="C4" t="s">
        <v>190</v>
      </c>
      <c r="Q4">
        <v>1</v>
      </c>
      <c r="R4" t="s">
        <v>191</v>
      </c>
    </row>
    <row r="5" spans="1:18" x14ac:dyDescent="0.35">
      <c r="B5" t="s">
        <v>192</v>
      </c>
      <c r="C5" t="s">
        <v>204</v>
      </c>
      <c r="Q5">
        <v>2</v>
      </c>
      <c r="R5" t="s">
        <v>193</v>
      </c>
    </row>
    <row r="6" spans="1:18" x14ac:dyDescent="0.35">
      <c r="B6" t="s">
        <v>194</v>
      </c>
      <c r="C6" t="s">
        <v>205</v>
      </c>
    </row>
    <row r="7" spans="1:18" x14ac:dyDescent="0.35">
      <c r="C7" t="s">
        <v>206</v>
      </c>
    </row>
    <row r="8" spans="1:18" x14ac:dyDescent="0.35">
      <c r="B8" t="s">
        <v>195</v>
      </c>
      <c r="C8" t="s">
        <v>196</v>
      </c>
    </row>
    <row r="10" spans="1:18" x14ac:dyDescent="0.35">
      <c r="A10">
        <v>2</v>
      </c>
      <c r="B10" t="s">
        <v>197</v>
      </c>
      <c r="C10" t="s">
        <v>209</v>
      </c>
    </row>
    <row r="11" spans="1:18" x14ac:dyDescent="0.35">
      <c r="A11">
        <v>3</v>
      </c>
      <c r="C11" t="s">
        <v>198</v>
      </c>
    </row>
    <row r="12" spans="1:18" x14ac:dyDescent="0.35">
      <c r="B12" t="s">
        <v>192</v>
      </c>
      <c r="C12" t="s">
        <v>199</v>
      </c>
    </row>
    <row r="13" spans="1:18" x14ac:dyDescent="0.35">
      <c r="B13" t="s">
        <v>194</v>
      </c>
      <c r="C13" t="s">
        <v>200</v>
      </c>
    </row>
    <row r="15" spans="1:18" x14ac:dyDescent="0.35">
      <c r="A15">
        <v>4</v>
      </c>
      <c r="C15" t="s">
        <v>207</v>
      </c>
    </row>
    <row r="16" spans="1:18" x14ac:dyDescent="0.35">
      <c r="C16" t="s">
        <v>208</v>
      </c>
    </row>
    <row r="18" spans="1:3" x14ac:dyDescent="0.35">
      <c r="A18">
        <v>5</v>
      </c>
      <c r="C18" t="s">
        <v>210</v>
      </c>
    </row>
    <row r="19" spans="1:3" x14ac:dyDescent="0.35">
      <c r="C19" t="s">
        <v>213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E39F7ED443E845AE16CF03FC580D60" ma:contentTypeVersion="13" ma:contentTypeDescription="Create a new document." ma:contentTypeScope="" ma:versionID="d3439880fa627988cecd36d2440c61bd">
  <xsd:schema xmlns:xsd="http://www.w3.org/2001/XMLSchema" xmlns:xs="http://www.w3.org/2001/XMLSchema" xmlns:p="http://schemas.microsoft.com/office/2006/metadata/properties" xmlns:ns2="73b04896-68e8-466a-97af-6ba5633f37ce" xmlns:ns3="c5c23409-5ebf-457b-93ee-bb79f84edd55" targetNamespace="http://schemas.microsoft.com/office/2006/metadata/properties" ma:root="true" ma:fieldsID="b3530e50c0aadc442fff0a4f678d0f58" ns2:_="" ns3:_="">
    <xsd:import namespace="73b04896-68e8-466a-97af-6ba5633f37ce"/>
    <xsd:import namespace="c5c23409-5ebf-457b-93ee-bb79f84edd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b04896-68e8-466a-97af-6ba5633f37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6148581-cc70-4d03-a3af-481de17f4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23409-5ebf-457b-93ee-bb79f84edd55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1f3e2df4-ba49-4c04-aab9-91e10b04ec29}" ma:internalName="TaxCatchAll" ma:showField="CatchAllData" ma:web="c5c23409-5ebf-457b-93ee-bb79f84edd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464F28-CB2C-46EF-ACDF-21F98FB5B7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b04896-68e8-466a-97af-6ba5633f37ce"/>
    <ds:schemaRef ds:uri="c5c23409-5ebf-457b-93ee-bb79f84edd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EC15C2-6D75-4F71-8B3F-DAD1F057EFB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0bdf996-65bc-49f7-9b9a-687d34df8c65}" enabled="0" method="" siteId="{a0bdf996-65bc-49f7-9b9a-687d34df8c6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Penalty Calculator</vt:lpstr>
      <vt:lpstr>Back end calculation</vt:lpstr>
      <vt:lpstr>Sheet1</vt:lpstr>
      <vt:lpstr>Voyage Estimator</vt:lpstr>
      <vt:lpstr>Fuel Factors</vt:lpstr>
      <vt:lpstr>icon links</vt:lpstr>
      <vt:lpstr>Voy Estimator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Venkatesh Nistala</dc:creator>
  <cp:lastModifiedBy>Sumit Redu</cp:lastModifiedBy>
  <dcterms:created xsi:type="dcterms:W3CDTF">2015-06-05T18:17:20Z</dcterms:created>
  <dcterms:modified xsi:type="dcterms:W3CDTF">2025-09-24T07:02:44Z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fd20c2-0af3-438f-a759-29ff81c94402_Enabled">
    <vt:lpwstr>true</vt:lpwstr>
  </property>
  <property fmtid="{D5CDD505-2E9C-101B-9397-08002B2CF9AE}" pid="3" name="MSIP_Label_a8fd20c2-0af3-438f-a759-29ff81c94402_SetDate">
    <vt:lpwstr>2025-07-15T08:20:37Z</vt:lpwstr>
  </property>
  <property fmtid="{D5CDD505-2E9C-101B-9397-08002B2CF9AE}" pid="4" name="MSIP_Label_a8fd20c2-0af3-438f-a759-29ff81c94402_Method">
    <vt:lpwstr>Privileged</vt:lpwstr>
  </property>
  <property fmtid="{D5CDD505-2E9C-101B-9397-08002B2CF9AE}" pid="5" name="MSIP_Label_a8fd20c2-0af3-438f-a759-29ff81c94402_Name">
    <vt:lpwstr>Public (Unclassified)</vt:lpwstr>
  </property>
  <property fmtid="{D5CDD505-2E9C-101B-9397-08002B2CF9AE}" pid="6" name="MSIP_Label_a8fd20c2-0af3-438f-a759-29ff81c94402_SiteId">
    <vt:lpwstr>c492b68e-d6a7-4fee-8f1a-4f11766e2427</vt:lpwstr>
  </property>
  <property fmtid="{D5CDD505-2E9C-101B-9397-08002B2CF9AE}" pid="7" name="MSIP_Label_a8fd20c2-0af3-438f-a759-29ff81c94402_ActionId">
    <vt:lpwstr>7e8cb026-a136-4250-9db1-aafd0d657e1e</vt:lpwstr>
  </property>
  <property fmtid="{D5CDD505-2E9C-101B-9397-08002B2CF9AE}" pid="8" name="MSIP_Label_a8fd20c2-0af3-438f-a759-29ff81c94402_ContentBits">
    <vt:lpwstr>0</vt:lpwstr>
  </property>
  <property fmtid="{D5CDD505-2E9C-101B-9397-08002B2CF9AE}" pid="9" name="MSIP_Label_a8fd20c2-0af3-438f-a759-29ff81c94402_Tag">
    <vt:lpwstr>10, 0, 1, 1</vt:lpwstr>
  </property>
</Properties>
</file>